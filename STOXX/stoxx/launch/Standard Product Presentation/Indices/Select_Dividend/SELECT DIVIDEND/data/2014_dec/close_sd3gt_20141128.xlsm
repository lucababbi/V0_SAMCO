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3.xml" ContentType="application/vnd.openxmlformats-officedocument.spreadsheetml.workshee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105" windowWidth="18195" windowHeight="10800"/>
  </bookViews>
  <sheets>
    <sheet name="close_sd3gt_20141128" sheetId="1" r:id="rId1"/>
    <sheet name="names" sheetId="2" r:id="rId2"/>
    <sheet name="Pivot" sheetId="3" r:id="rId3"/>
  </sheets>
  <definedNames>
    <definedName name="_xlnm._FilterDatabase" localSheetId="0" hidden="1">close_sd3gt_20141128!$A$1:$AL$31</definedName>
    <definedName name="_xlnm._FilterDatabase" localSheetId="2" hidden="1">Pivot!$G$19:$H$19</definedName>
  </definedNames>
  <calcPr calcId="145621"/>
  <pivotCaches>
    <pivotCache cacheId="10" r:id="rId4"/>
    <pivotCache cacheId="13" r:id="rId5"/>
  </pivotCaches>
</workbook>
</file>

<file path=xl/calcChain.xml><?xml version="1.0" encoding="utf-8"?>
<calcChain xmlns="http://schemas.openxmlformats.org/spreadsheetml/2006/main">
  <c r="AL3" i="1" l="1"/>
  <c r="AL4" i="1"/>
  <c r="AL5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2" i="1"/>
  <c r="AA16" i="1"/>
  <c r="AA8" i="1"/>
  <c r="AB8" i="1" s="1"/>
  <c r="AB16" i="1"/>
  <c r="AB19" i="1"/>
  <c r="AB23" i="1"/>
  <c r="AB27" i="1"/>
  <c r="AB31" i="1"/>
  <c r="AA3" i="1"/>
  <c r="AB3" i="1" s="1"/>
  <c r="AA4" i="1"/>
  <c r="AB4" i="1" s="1"/>
  <c r="AA5" i="1"/>
  <c r="AB5" i="1" s="1"/>
  <c r="AA6" i="1"/>
  <c r="AB6" i="1" s="1"/>
  <c r="AA7" i="1"/>
  <c r="AB7" i="1" s="1"/>
  <c r="AA9" i="1"/>
  <c r="AB9" i="1" s="1"/>
  <c r="AA10" i="1"/>
  <c r="AB10" i="1" s="1"/>
  <c r="AA11" i="1"/>
  <c r="AB11" i="1" s="1"/>
  <c r="AA12" i="1"/>
  <c r="AB12" i="1" s="1"/>
  <c r="AA13" i="1"/>
  <c r="AB13" i="1" s="1"/>
  <c r="AA14" i="1"/>
  <c r="AB14" i="1" s="1"/>
  <c r="AA15" i="1"/>
  <c r="AB15" i="1" s="1"/>
  <c r="AA17" i="1"/>
  <c r="AB17" i="1" s="1"/>
  <c r="AA18" i="1"/>
  <c r="AB18" i="1" s="1"/>
  <c r="AA19" i="1"/>
  <c r="AA20" i="1"/>
  <c r="AB20" i="1" s="1"/>
  <c r="AA21" i="1"/>
  <c r="AB21" i="1" s="1"/>
  <c r="AA22" i="1"/>
  <c r="AB22" i="1" s="1"/>
  <c r="AA23" i="1"/>
  <c r="AA24" i="1"/>
  <c r="AB24" i="1" s="1"/>
  <c r="AA25" i="1"/>
  <c r="AB25" i="1" s="1"/>
  <c r="AA26" i="1"/>
  <c r="AB26" i="1" s="1"/>
  <c r="AA27" i="1"/>
  <c r="AA28" i="1"/>
  <c r="AB28" i="1" s="1"/>
  <c r="AA29" i="1"/>
  <c r="AB29" i="1" s="1"/>
  <c r="AA30" i="1"/>
  <c r="AB30" i="1" s="1"/>
  <c r="AA31" i="1"/>
  <c r="AA2" i="1"/>
  <c r="AB2" i="1" s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2" i="1"/>
</calcChain>
</file>

<file path=xl/sharedStrings.xml><?xml version="1.0" encoding="utf-8"?>
<sst xmlns="http://schemas.openxmlformats.org/spreadsheetml/2006/main" count="678" uniqueCount="341">
  <si>
    <t>Date</t>
  </si>
  <si>
    <t>Index_Symbol</t>
  </si>
  <si>
    <t>Index_Name</t>
  </si>
  <si>
    <t>Index_ISIN</t>
  </si>
  <si>
    <t>Index_Type</t>
  </si>
  <si>
    <t>Index_Currency</t>
  </si>
  <si>
    <t>Index_Open_Quotation</t>
  </si>
  <si>
    <t>Index_Settlement_Value</t>
  </si>
  <si>
    <t>Index_Value_high</t>
  </si>
  <si>
    <t>Index_Value_low</t>
  </si>
  <si>
    <t>Index_Close</t>
  </si>
  <si>
    <t>Index_Component_Count</t>
  </si>
  <si>
    <t>Index_Float</t>
  </si>
  <si>
    <t>Index_Mcap_Units</t>
  </si>
  <si>
    <t>Index_Divisor</t>
  </si>
  <si>
    <t>Internal_Number</t>
  </si>
  <si>
    <t>ISIN</t>
  </si>
  <si>
    <t>SEDOL</t>
  </si>
  <si>
    <t>RIC</t>
  </si>
  <si>
    <t>CUSIP</t>
  </si>
  <si>
    <t>Instrument_Name</t>
  </si>
  <si>
    <t>Country</t>
  </si>
  <si>
    <t>Currency</t>
  </si>
  <si>
    <t>Exchange</t>
  </si>
  <si>
    <t>ICB</t>
  </si>
  <si>
    <t>Free_Float</t>
  </si>
  <si>
    <t>Capfactor</t>
  </si>
  <si>
    <t>Weightfactor</t>
  </si>
  <si>
    <t>Ci-factor</t>
  </si>
  <si>
    <t>Close_unadjusted_local</t>
  </si>
  <si>
    <t>FX_local_to_Index_Currency</t>
  </si>
  <si>
    <t>Mcap_Units_local</t>
  </si>
  <si>
    <t>Mcap_Units_Index_Currency</t>
  </si>
  <si>
    <t>Weight</t>
  </si>
  <si>
    <t>SD3GT</t>
  </si>
  <si>
    <t>ESTXSD30 EUR GR</t>
  </si>
  <si>
    <t>CH0102792253</t>
  </si>
  <si>
    <t>Gross Return</t>
  </si>
  <si>
    <t>EUR</t>
  </si>
  <si>
    <t>B00D9P</t>
  </si>
  <si>
    <t>BE0003810273</t>
  </si>
  <si>
    <t>B00D9P6</t>
  </si>
  <si>
    <t>BCOM.BR</t>
  </si>
  <si>
    <t>BELGACOM</t>
  </si>
  <si>
    <t>BE</t>
  </si>
  <si>
    <t>EURONEXT(BE)</t>
  </si>
  <si>
    <t>ES0113900J37</t>
  </si>
  <si>
    <t>SAN.MC</t>
  </si>
  <si>
    <t>BCO SANTANDER</t>
  </si>
  <si>
    <t>ES</t>
  </si>
  <si>
    <t>SIBE</t>
  </si>
  <si>
    <t>FR0000133308</t>
  </si>
  <si>
    <t>ORAN.PA</t>
  </si>
  <si>
    <t>ORANGE</t>
  </si>
  <si>
    <t>FR</t>
  </si>
  <si>
    <t>EURONEXT(FR)</t>
  </si>
  <si>
    <t>DE000ENAG999</t>
  </si>
  <si>
    <t>EONGn.DE</t>
  </si>
  <si>
    <t>E.ON</t>
  </si>
  <si>
    <t>DE</t>
  </si>
  <si>
    <t>XETRA(DE)</t>
  </si>
  <si>
    <t>FI0009007132</t>
  </si>
  <si>
    <t>FUM1V.HE</t>
  </si>
  <si>
    <t>FORTUM</t>
  </si>
  <si>
    <t>FI</t>
  </si>
  <si>
    <t>OMX(FI)</t>
  </si>
  <si>
    <t>IT0003153415</t>
  </si>
  <si>
    <t>SRG.MI</t>
  </si>
  <si>
    <t>SNAM RETE GAS</t>
  </si>
  <si>
    <t>IT</t>
  </si>
  <si>
    <t>Milan</t>
  </si>
  <si>
    <t>IT0003132476</t>
  </si>
  <si>
    <t>ENI.MI</t>
  </si>
  <si>
    <t>ENI</t>
  </si>
  <si>
    <t>PTEDP0AM0009</t>
  </si>
  <si>
    <t>EDP.LS</t>
  </si>
  <si>
    <t>EDP ENERGIAS DE PORTUGAL</t>
  </si>
  <si>
    <t>PT</t>
  </si>
  <si>
    <t>EURONEXT(PT)</t>
  </si>
  <si>
    <t>FR0000124711</t>
  </si>
  <si>
    <t>B1YY4B3</t>
  </si>
  <si>
    <t>UNBP.AS</t>
  </si>
  <si>
    <t>UNIBAIL-RODAMCO</t>
  </si>
  <si>
    <t>EURONEXT(NL)</t>
  </si>
  <si>
    <t>DE0005552004</t>
  </si>
  <si>
    <t>DPWGn.DE</t>
  </si>
  <si>
    <t>DEUTSCHE POST</t>
  </si>
  <si>
    <t>NL0000009355</t>
  </si>
  <si>
    <t>B12T3J1</t>
  </si>
  <si>
    <t>UNc.AS</t>
  </si>
  <si>
    <t>UNILEVER NV</t>
  </si>
  <si>
    <t>NL</t>
  </si>
  <si>
    <t>DE0008430026</t>
  </si>
  <si>
    <t>MUVGn.DE</t>
  </si>
  <si>
    <t>MUENCHENER RUECK</t>
  </si>
  <si>
    <t>DE0008402215</t>
  </si>
  <si>
    <t>HNRGn.DE</t>
  </si>
  <si>
    <t>HANNOVER RUECK</t>
  </si>
  <si>
    <t>IT0003506190</t>
  </si>
  <si>
    <t>ATL.MI</t>
  </si>
  <si>
    <t>ATLANTIA</t>
  </si>
  <si>
    <t>FR0000120271</t>
  </si>
  <si>
    <t>B15C557</t>
  </si>
  <si>
    <t>TOTF.PA</t>
  </si>
  <si>
    <t>TOTAL</t>
  </si>
  <si>
    <t>FR0000127771</t>
  </si>
  <si>
    <t>VIV.PA</t>
  </si>
  <si>
    <t>VIVENDI</t>
  </si>
  <si>
    <t>DE0008404005</t>
  </si>
  <si>
    <t>ALVG.DE</t>
  </si>
  <si>
    <t>ALLIANZ</t>
  </si>
  <si>
    <t>FR0010411983</t>
  </si>
  <si>
    <t>B1LB9P6</t>
  </si>
  <si>
    <t>SCOR.PA</t>
  </si>
  <si>
    <t>SCOR</t>
  </si>
  <si>
    <t>NL0000395903</t>
  </si>
  <si>
    <t>WLSNc.AS</t>
  </si>
  <si>
    <t>WOLTERS KLUWER</t>
  </si>
  <si>
    <t>FI0009007835</t>
  </si>
  <si>
    <t>MEO1V.HE</t>
  </si>
  <si>
    <t>METSO</t>
  </si>
  <si>
    <t>FR0000120628</t>
  </si>
  <si>
    <t>AXAF.PA</t>
  </si>
  <si>
    <t>AXA</t>
  </si>
  <si>
    <t>NL0010672325</t>
  </si>
  <si>
    <t>BKWP5S5</t>
  </si>
  <si>
    <t>AHLN.AS</t>
  </si>
  <si>
    <t>AHOLD</t>
  </si>
  <si>
    <t>FI0009000202</t>
  </si>
  <si>
    <t>KESBV.HE</t>
  </si>
  <si>
    <t>KESKO</t>
  </si>
  <si>
    <t>DE0007100000</t>
  </si>
  <si>
    <t>DAIGn.DE</t>
  </si>
  <si>
    <t>DAIMLER</t>
  </si>
  <si>
    <t>DE000BASF111</t>
  </si>
  <si>
    <t>BASFn.DE</t>
  </si>
  <si>
    <t>BASF</t>
  </si>
  <si>
    <t>FR0000121485</t>
  </si>
  <si>
    <t>PRTP.PA</t>
  </si>
  <si>
    <t>Kering</t>
  </si>
  <si>
    <t>DE0007297004</t>
  </si>
  <si>
    <t>SZUG.DE</t>
  </si>
  <si>
    <t>SUEDZUCKER</t>
  </si>
  <si>
    <t>FR0000125486</t>
  </si>
  <si>
    <t>B1XH026</t>
  </si>
  <si>
    <t>SGEF.PA</t>
  </si>
  <si>
    <t>VINCI</t>
  </si>
  <si>
    <t>FI0009003727</t>
  </si>
  <si>
    <t>WRT1V.HE</t>
  </si>
  <si>
    <t>WARTSILA</t>
  </si>
  <si>
    <t>DE0005909006</t>
  </si>
  <si>
    <t>GBFG.DE</t>
  </si>
  <si>
    <t>BILFINGER</t>
  </si>
  <si>
    <t>industry</t>
  </si>
  <si>
    <t>name</t>
  </si>
  <si>
    <t>0500</t>
  </si>
  <si>
    <t>Oil &amp; Gas</t>
  </si>
  <si>
    <t>Code</t>
  </si>
  <si>
    <t>Bezeichnung_GUI</t>
  </si>
  <si>
    <t>0001</t>
  </si>
  <si>
    <t>1300</t>
  </si>
  <si>
    <t>Chemicals</t>
  </si>
  <si>
    <t>CH</t>
  </si>
  <si>
    <t>Switzerland</t>
  </si>
  <si>
    <t>1000</t>
  </si>
  <si>
    <t>Basic Materials</t>
  </si>
  <si>
    <t>1700</t>
  </si>
  <si>
    <t>Basic Resources</t>
  </si>
  <si>
    <t>AT</t>
  </si>
  <si>
    <t>Austria</t>
  </si>
  <si>
    <t>2000</t>
  </si>
  <si>
    <t>Industrials</t>
  </si>
  <si>
    <t>2300</t>
  </si>
  <si>
    <t>Construction &amp; Materials</t>
  </si>
  <si>
    <t>Belgium</t>
  </si>
  <si>
    <t>3000</t>
  </si>
  <si>
    <t>Consumer Goods</t>
  </si>
  <si>
    <t>2700</t>
  </si>
  <si>
    <t>Industrial Goods &amp; Services</t>
  </si>
  <si>
    <t>Germany</t>
  </si>
  <si>
    <t>4000</t>
  </si>
  <si>
    <t>Health Care</t>
  </si>
  <si>
    <t>3300</t>
  </si>
  <si>
    <t>Automobiles &amp; Parts</t>
  </si>
  <si>
    <t>DK</t>
  </si>
  <si>
    <t>Denmark</t>
  </si>
  <si>
    <t>5000</t>
  </si>
  <si>
    <t>Consumer Services</t>
  </si>
  <si>
    <t>3500</t>
  </si>
  <si>
    <t>Food &amp; Beverage</t>
  </si>
  <si>
    <t>Spain</t>
  </si>
  <si>
    <t>6000</t>
  </si>
  <si>
    <t>Telecommunications</t>
  </si>
  <si>
    <t>3700</t>
  </si>
  <si>
    <t>Personal &amp; Household Goods</t>
  </si>
  <si>
    <t>France</t>
  </si>
  <si>
    <t>7000</t>
  </si>
  <si>
    <t>Utilities</t>
  </si>
  <si>
    <t>4500</t>
  </si>
  <si>
    <t>Finland</t>
  </si>
  <si>
    <t>8000</t>
  </si>
  <si>
    <t>Financials</t>
  </si>
  <si>
    <t>5300</t>
  </si>
  <si>
    <t>Retail</t>
  </si>
  <si>
    <t>GB</t>
  </si>
  <si>
    <t>Great Britain</t>
  </si>
  <si>
    <t>9000</t>
  </si>
  <si>
    <t>Technology</t>
  </si>
  <si>
    <t>5500</t>
  </si>
  <si>
    <t>Media</t>
  </si>
  <si>
    <t>GR</t>
  </si>
  <si>
    <t>Greece</t>
  </si>
  <si>
    <t>5700</t>
  </si>
  <si>
    <t>Travel &amp; Leisure</t>
  </si>
  <si>
    <t>Italy</t>
  </si>
  <si>
    <t>6500</t>
  </si>
  <si>
    <t>IE</t>
  </si>
  <si>
    <t>Ireland</t>
  </si>
  <si>
    <t>7500</t>
  </si>
  <si>
    <t>LU</t>
  </si>
  <si>
    <t>Luxembourg</t>
  </si>
  <si>
    <t>8300</t>
  </si>
  <si>
    <t>Banks</t>
  </si>
  <si>
    <t>NO</t>
  </si>
  <si>
    <t>Norway</t>
  </si>
  <si>
    <t>8500</t>
  </si>
  <si>
    <t>Insurance</t>
  </si>
  <si>
    <t>Netherlands</t>
  </si>
  <si>
    <t>8600</t>
  </si>
  <si>
    <t>Real Estate</t>
  </si>
  <si>
    <t>Portugal</t>
  </si>
  <si>
    <t>8700</t>
  </si>
  <si>
    <t>Financial Services</t>
  </si>
  <si>
    <t>SE</t>
  </si>
  <si>
    <t>Sweden</t>
  </si>
  <si>
    <t>9500</t>
  </si>
  <si>
    <t>TR</t>
  </si>
  <si>
    <t>Turkey</t>
  </si>
  <si>
    <t>CY</t>
  </si>
  <si>
    <t>Cyprus</t>
  </si>
  <si>
    <t>CZ</t>
  </si>
  <si>
    <t>Czech Republic</t>
  </si>
  <si>
    <t>HU</t>
  </si>
  <si>
    <t>Hungary</t>
  </si>
  <si>
    <t>LV</t>
  </si>
  <si>
    <t>Latvia</t>
  </si>
  <si>
    <t>LT</t>
  </si>
  <si>
    <t>Lithuania</t>
  </si>
  <si>
    <t>MT</t>
  </si>
  <si>
    <t>Malta</t>
  </si>
  <si>
    <t>PL</t>
  </si>
  <si>
    <t>Poland</t>
  </si>
  <si>
    <t>SK</t>
  </si>
  <si>
    <t>Slovakia</t>
  </si>
  <si>
    <t>SI</t>
  </si>
  <si>
    <t>Slovenia</t>
  </si>
  <si>
    <t>EE</t>
  </si>
  <si>
    <t>Estonia</t>
  </si>
  <si>
    <t>IS</t>
  </si>
  <si>
    <t>Iceland</t>
  </si>
  <si>
    <t>RO</t>
  </si>
  <si>
    <t>Romania</t>
  </si>
  <si>
    <t>BG</t>
  </si>
  <si>
    <t>Bulgaria</t>
  </si>
  <si>
    <t>HR</t>
  </si>
  <si>
    <t>Croatia</t>
  </si>
  <si>
    <t>RS</t>
  </si>
  <si>
    <t>Serbia</t>
  </si>
  <si>
    <t>MK</t>
  </si>
  <si>
    <t>Macedonia (FYROM)</t>
  </si>
  <si>
    <t>UA</t>
  </si>
  <si>
    <t>Ukraine</t>
  </si>
  <si>
    <t>RU</t>
  </si>
  <si>
    <t>Russia</t>
  </si>
  <si>
    <t>LI</t>
  </si>
  <si>
    <t>Liechtenstein</t>
  </si>
  <si>
    <t>US</t>
  </si>
  <si>
    <t>United States</t>
  </si>
  <si>
    <t>CA</t>
  </si>
  <si>
    <t>Canada</t>
  </si>
  <si>
    <t>AU</t>
  </si>
  <si>
    <t>Australia</t>
  </si>
  <si>
    <t>HK</t>
  </si>
  <si>
    <t>Hong Kong</t>
  </si>
  <si>
    <t>JP</t>
  </si>
  <si>
    <t>Japan</t>
  </si>
  <si>
    <t>SG</t>
  </si>
  <si>
    <t>Singapore</t>
  </si>
  <si>
    <t>NZ</t>
  </si>
  <si>
    <t>New Zealand</t>
  </si>
  <si>
    <t>KR</t>
  </si>
  <si>
    <t>South Korea</t>
  </si>
  <si>
    <t>TW</t>
  </si>
  <si>
    <t>Taiwan</t>
  </si>
  <si>
    <t>CN</t>
  </si>
  <si>
    <t>China</t>
  </si>
  <si>
    <t>BR</t>
  </si>
  <si>
    <t>Brasilia</t>
  </si>
  <si>
    <t>CO</t>
  </si>
  <si>
    <t>Columbia</t>
  </si>
  <si>
    <t>CL</t>
  </si>
  <si>
    <t>Chile</t>
  </si>
  <si>
    <t>EG</t>
  </si>
  <si>
    <t>Egypt</t>
  </si>
  <si>
    <t>ID</t>
  </si>
  <si>
    <t>Indonesia</t>
  </si>
  <si>
    <t>IL</t>
  </si>
  <si>
    <t>Israel</t>
  </si>
  <si>
    <t>IN</t>
  </si>
  <si>
    <t>India</t>
  </si>
  <si>
    <t>MX</t>
  </si>
  <si>
    <t>Mexico</t>
  </si>
  <si>
    <t>MY</t>
  </si>
  <si>
    <t>Malaysia</t>
  </si>
  <si>
    <t>PH</t>
  </si>
  <si>
    <t>Philipines</t>
  </si>
  <si>
    <t>TH</t>
  </si>
  <si>
    <t>Thailand</t>
  </si>
  <si>
    <t>VN</t>
  </si>
  <si>
    <t>Vietnam</t>
  </si>
  <si>
    <t>ZA</t>
  </si>
  <si>
    <t>South Africa</t>
  </si>
  <si>
    <t>AR</t>
  </si>
  <si>
    <t>Argentina</t>
  </si>
  <si>
    <t>PE</t>
  </si>
  <si>
    <t>Peru</t>
  </si>
  <si>
    <t>MA</t>
  </si>
  <si>
    <t>Marocco</t>
  </si>
  <si>
    <t>NG</t>
  </si>
  <si>
    <t>Nigeria</t>
  </si>
  <si>
    <t>PK</t>
  </si>
  <si>
    <t>Pakistan</t>
  </si>
  <si>
    <t>TN</t>
  </si>
  <si>
    <t>Tunisia</t>
  </si>
  <si>
    <t>0537</t>
  </si>
  <si>
    <t>Industry</t>
  </si>
  <si>
    <t>Row Labels</t>
  </si>
  <si>
    <t>Grand Total</t>
  </si>
  <si>
    <t>Sum of Weight</t>
  </si>
  <si>
    <t>weight</t>
  </si>
  <si>
    <t>weightperc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</si>
</sst>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26">
    <xf numFmtId="0" fontId="0" fillId="0" borderId="0" xfId="0"/>
    <xf numFmtId="14" fontId="0" fillId="0" borderId="0" xfId="0" applyNumberFormat="1"/>
    <xf numFmtId="0" fontId="0" fillId="0" borderId="0" xfId="0" quotePrefix="1"/>
    <xf numFmtId="49" fontId="0" fillId="0" borderId="0" xfId="0" applyNumberFormat="1"/>
    <xf numFmtId="49" fontId="0" fillId="0" borderId="0" xfId="0" quotePrefix="1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42" applyNumberFormat="1" applyFont="1"/>
    <xf numFmtId="10" fontId="0" fillId="0" borderId="0" xfId="0" applyNumberFormat="1"/>
    <xf numFmtId="14" fontId="0" fillId="0" borderId="10" xfId="0" applyNumberFormat="1" applyBorder="1"/>
    <xf numFmtId="0" fontId="0" fillId="0" borderId="11" xfId="0" applyBorder="1"/>
    <xf numFmtId="49" fontId="0" fillId="0" borderId="11" xfId="0" applyNumberFormat="1" applyBorder="1"/>
    <xf numFmtId="0" fontId="0" fillId="0" borderId="11" xfId="0" applyNumberFormat="1" applyBorder="1"/>
    <xf numFmtId="10" fontId="0" fillId="0" borderId="12" xfId="42" applyNumberFormat="1" applyFont="1" applyBorder="1"/>
    <xf numFmtId="14" fontId="0" fillId="0" borderId="13" xfId="0" applyNumberFormat="1" applyBorder="1"/>
    <xf numFmtId="0" fontId="0" fillId="0" borderId="0" xfId="0" applyBorder="1"/>
    <xf numFmtId="49" fontId="0" fillId="0" borderId="0" xfId="0" applyNumberFormat="1" applyBorder="1"/>
    <xf numFmtId="0" fontId="0" fillId="0" borderId="0" xfId="0" applyNumberFormat="1" applyBorder="1"/>
    <xf numFmtId="10" fontId="0" fillId="0" borderId="14" xfId="42" applyNumberFormat="1" applyFont="1" applyBorder="1"/>
    <xf numFmtId="49" fontId="0" fillId="0" borderId="0" xfId="0" quotePrefix="1" applyNumberFormat="1" applyBorder="1"/>
    <xf numFmtId="14" fontId="0" fillId="0" borderId="15" xfId="0" applyNumberFormat="1" applyBorder="1"/>
    <xf numFmtId="0" fontId="0" fillId="0" borderId="16" xfId="0" applyBorder="1"/>
    <xf numFmtId="49" fontId="0" fillId="0" borderId="16" xfId="0" applyNumberFormat="1" applyBorder="1"/>
    <xf numFmtId="0" fontId="0" fillId="0" borderId="16" xfId="0" applyNumberFormat="1" applyBorder="1"/>
    <xf numFmtId="10" fontId="0" fillId="0" borderId="17" xfId="42" applyNumberFormat="1" applyFont="1" applyBorder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pivotCacheDefinition" Target="pivotCache/pivotCacheDefinition2.xml"/><Relationship Id="rId10" Type="http://schemas.openxmlformats.org/officeDocument/2006/relationships/customXml" Target="../customXml/item1.xml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ranell, Antonio" refreshedDate="41996.622665972223" createdVersion="4" refreshedVersion="4" minRefreshableVersion="3" recordCount="30">
  <cacheSource type="worksheet">
    <worksheetSource ref="D1:E31" sheet="Pivot"/>
  </cacheSource>
  <cacheFields count="2">
    <cacheField name="Country" numFmtId="0">
      <sharedItems count="8">
        <s v="Belgium"/>
        <s v="Spain"/>
        <s v="France"/>
        <s v="Germany"/>
        <s v="Finland"/>
        <s v="Italy"/>
        <s v="Portugal"/>
        <s v="Netherlands"/>
      </sharedItems>
    </cacheField>
    <cacheField name="Weight" numFmtId="0">
      <sharedItems containsSemiMixedTypes="0" containsString="0" containsNumber="1" minValue="1.1109599999999999" maxValue="9.1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Granell, Antonio" refreshedDate="41996.624945138887" createdVersion="4" refreshedVersion="4" minRefreshableVersion="3" recordCount="30">
  <cacheSource type="worksheet">
    <worksheetSource ref="A1:B31" sheet="Pivot"/>
  </cacheSource>
  <cacheFields count="2">
    <cacheField name="Industry" numFmtId="0">
      <sharedItems count="8">
        <s v="Telecommunications"/>
        <s v="Financials"/>
        <s v="Utilities"/>
        <s v="Oil &amp; Gas"/>
        <s v="Industrials"/>
        <s v="Consumer Goods"/>
        <s v="Consumer Services"/>
        <s v="Basic Materials"/>
      </sharedItems>
    </cacheField>
    <cacheField name="Weight" numFmtId="0">
      <sharedItems containsSemiMixedTypes="0" containsString="0" containsNumber="1" minValue="1.1109599999999999" maxValue="9.1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">
  <r>
    <x v="0"/>
    <n v="9.14"/>
  </r>
  <r>
    <x v="1"/>
    <n v="6.8738299999999999"/>
  </r>
  <r>
    <x v="2"/>
    <n v="6.2355700000000001"/>
  </r>
  <r>
    <x v="3"/>
    <n v="5.1985999999999999"/>
  </r>
  <r>
    <x v="4"/>
    <n v="4.5982399999999997"/>
  </r>
  <r>
    <x v="5"/>
    <n v="4.2491599999999998"/>
  </r>
  <r>
    <x v="5"/>
    <n v="3.94719"/>
  </r>
  <r>
    <x v="6"/>
    <n v="3.7944599999999999"/>
  </r>
  <r>
    <x v="2"/>
    <n v="3.6798799999999998"/>
  </r>
  <r>
    <x v="3"/>
    <n v="3.2880699999999998"/>
  </r>
  <r>
    <x v="7"/>
    <n v="3.1699000000000002"/>
  </r>
  <r>
    <x v="3"/>
    <n v="3.1305800000000001"/>
  </r>
  <r>
    <x v="3"/>
    <n v="3.1185800000000001"/>
  </r>
  <r>
    <x v="5"/>
    <n v="3.0836199999999998"/>
  </r>
  <r>
    <x v="2"/>
    <n v="2.9256099999999998"/>
  </r>
  <r>
    <x v="2"/>
    <n v="2.9228399999999999"/>
  </r>
  <r>
    <x v="3"/>
    <n v="2.8972500000000001"/>
  </r>
  <r>
    <x v="2"/>
    <n v="2.8730699999999998"/>
  </r>
  <r>
    <x v="7"/>
    <n v="2.8109000000000002"/>
  </r>
  <r>
    <x v="4"/>
    <n v="2.7391000000000001"/>
  </r>
  <r>
    <x v="2"/>
    <n v="2.7029800000000002"/>
  </r>
  <r>
    <x v="7"/>
    <n v="2.6971500000000002"/>
  </r>
  <r>
    <x v="4"/>
    <n v="2.4089999999999998"/>
  </r>
  <r>
    <x v="3"/>
    <n v="2.1568900000000002"/>
  </r>
  <r>
    <x v="3"/>
    <n v="1.9246399999999999"/>
  </r>
  <r>
    <x v="2"/>
    <n v="1.76953"/>
  </r>
  <r>
    <x v="3"/>
    <n v="1.61565"/>
  </r>
  <r>
    <x v="2"/>
    <n v="1.57416"/>
  </r>
  <r>
    <x v="4"/>
    <n v="1.3625700000000001"/>
  </r>
  <r>
    <x v="3"/>
    <n v="1.110959999999999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0">
  <r>
    <x v="0"/>
    <n v="9.14"/>
  </r>
  <r>
    <x v="1"/>
    <n v="6.8738299999999999"/>
  </r>
  <r>
    <x v="0"/>
    <n v="6.2355700000000001"/>
  </r>
  <r>
    <x v="2"/>
    <n v="5.1985999999999999"/>
  </r>
  <r>
    <x v="2"/>
    <n v="4.5982399999999997"/>
  </r>
  <r>
    <x v="2"/>
    <n v="4.2491599999999998"/>
  </r>
  <r>
    <x v="3"/>
    <n v="3.94719"/>
  </r>
  <r>
    <x v="2"/>
    <n v="3.7944599999999999"/>
  </r>
  <r>
    <x v="1"/>
    <n v="3.6798799999999998"/>
  </r>
  <r>
    <x v="4"/>
    <n v="3.2880699999999998"/>
  </r>
  <r>
    <x v="5"/>
    <n v="3.1699000000000002"/>
  </r>
  <r>
    <x v="1"/>
    <n v="3.1305800000000001"/>
  </r>
  <r>
    <x v="1"/>
    <n v="3.1185800000000001"/>
  </r>
  <r>
    <x v="4"/>
    <n v="3.0836199999999998"/>
  </r>
  <r>
    <x v="3"/>
    <n v="2.9256099999999998"/>
  </r>
  <r>
    <x v="6"/>
    <n v="2.9228399999999999"/>
  </r>
  <r>
    <x v="1"/>
    <n v="2.8972500000000001"/>
  </r>
  <r>
    <x v="1"/>
    <n v="2.8730699999999998"/>
  </r>
  <r>
    <x v="6"/>
    <n v="2.8109000000000002"/>
  </r>
  <r>
    <x v="4"/>
    <n v="2.7391000000000001"/>
  </r>
  <r>
    <x v="1"/>
    <n v="2.7029800000000002"/>
  </r>
  <r>
    <x v="6"/>
    <n v="2.6971500000000002"/>
  </r>
  <r>
    <x v="6"/>
    <n v="2.4089999999999998"/>
  </r>
  <r>
    <x v="5"/>
    <n v="2.1568900000000002"/>
  </r>
  <r>
    <x v="7"/>
    <n v="1.9246399999999999"/>
  </r>
  <r>
    <x v="6"/>
    <n v="1.76953"/>
  </r>
  <r>
    <x v="5"/>
    <n v="1.61565"/>
  </r>
  <r>
    <x v="4"/>
    <n v="1.57416"/>
  </r>
  <r>
    <x v="4"/>
    <n v="1.3625700000000001"/>
  </r>
  <r>
    <x v="4"/>
    <n v="1.11095999999999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13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G2:H11" firstHeaderRow="1" firstDataRow="1" firstDataCol="1"/>
  <pivotFields count="2">
    <pivotField axis="axisRow" showAll="0">
      <items count="9">
        <item x="7"/>
        <item x="5"/>
        <item x="6"/>
        <item x="1"/>
        <item x="4"/>
        <item x="3"/>
        <item x="0"/>
        <item x="2"/>
        <item t="default"/>
      </items>
    </pivotField>
    <pivotField dataField="1" showAl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Sum of Weight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1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J2:K11" firstHeaderRow="1" firstDataRow="1" firstDataCol="1"/>
  <pivotFields count="2">
    <pivotField axis="axisRow" showAll="0">
      <items count="9">
        <item x="0"/>
        <item x="4"/>
        <item x="2"/>
        <item x="3"/>
        <item x="5"/>
        <item x="7"/>
        <item x="6"/>
        <item x="1"/>
        <item t="default"/>
      </items>
    </pivotField>
    <pivotField dataField="1" showAl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Sum of Weight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L32"/>
  <sheetViews>
    <sheetView tabSelected="1" topLeftCell="Z1" workbookViewId="0">
      <selection activeCell="AF5" sqref="AF5"/>
    </sheetView>
  </sheetViews>
  <sheetFormatPr defaultRowHeight="12.75" x14ac:dyDescent="0.2"/>
  <cols>
    <col min="1" max="1" width="10.140625" bestFit="1" customWidth="1"/>
    <col min="21" max="21" width="29.28515625" bestFit="1" customWidth="1"/>
    <col min="23" max="23" width="10.85546875" bestFit="1" customWidth="1"/>
    <col min="25" max="25" width="14.7109375" bestFit="1" customWidth="1"/>
    <col min="26" max="26" width="9.140625" style="3"/>
    <col min="27" max="27" width="9.140625" style="5"/>
    <col min="28" max="28" width="24.28515625" bestFit="1" customWidth="1"/>
  </cols>
  <sheetData>
    <row r="1" spans="1:38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21</v>
      </c>
      <c r="X1" t="s">
        <v>22</v>
      </c>
      <c r="Y1" t="s">
        <v>23</v>
      </c>
      <c r="Z1" s="3" t="s">
        <v>24</v>
      </c>
      <c r="AA1" s="5" t="s">
        <v>24</v>
      </c>
      <c r="AB1" t="s">
        <v>335</v>
      </c>
      <c r="AC1" t="s">
        <v>25</v>
      </c>
      <c r="AD1" t="s">
        <v>26</v>
      </c>
      <c r="AE1" t="s">
        <v>27</v>
      </c>
      <c r="AF1" t="s">
        <v>28</v>
      </c>
      <c r="AG1" t="s">
        <v>29</v>
      </c>
      <c r="AH1" t="s">
        <v>30</v>
      </c>
      <c r="AI1" t="s">
        <v>31</v>
      </c>
      <c r="AJ1" t="s">
        <v>32</v>
      </c>
      <c r="AK1" t="s">
        <v>33</v>
      </c>
      <c r="AL1" t="s">
        <v>340</v>
      </c>
    </row>
    <row r="2" spans="1:38" x14ac:dyDescent="0.2">
      <c r="A2" s="10">
        <v>41971</v>
      </c>
      <c r="B2" s="11" t="s">
        <v>34</v>
      </c>
      <c r="C2" s="11" t="s">
        <v>35</v>
      </c>
      <c r="D2" s="11" t="s">
        <v>36</v>
      </c>
      <c r="E2" s="11" t="s">
        <v>37</v>
      </c>
      <c r="F2" s="11" t="s">
        <v>38</v>
      </c>
      <c r="G2" s="11"/>
      <c r="H2" s="11"/>
      <c r="I2" s="11"/>
      <c r="J2" s="11"/>
      <c r="K2" s="11">
        <v>1579.65</v>
      </c>
      <c r="L2" s="11">
        <v>30</v>
      </c>
      <c r="M2" s="11"/>
      <c r="N2" s="11">
        <v>1095743460</v>
      </c>
      <c r="O2" s="11">
        <v>693662</v>
      </c>
      <c r="P2" s="11" t="s">
        <v>39</v>
      </c>
      <c r="Q2" s="11" t="s">
        <v>40</v>
      </c>
      <c r="R2" s="11" t="s">
        <v>41</v>
      </c>
      <c r="S2" s="11" t="s">
        <v>42</v>
      </c>
      <c r="T2" s="11"/>
      <c r="U2" s="11" t="s">
        <v>43</v>
      </c>
      <c r="V2" s="11" t="s">
        <v>44</v>
      </c>
      <c r="W2" s="11" t="str">
        <f>VLOOKUP(V2,names!I:J,2,0)</f>
        <v>Belgium</v>
      </c>
      <c r="X2" s="11" t="s">
        <v>38</v>
      </c>
      <c r="Y2" s="11" t="s">
        <v>45</v>
      </c>
      <c r="Z2" s="12">
        <v>6535</v>
      </c>
      <c r="AA2" s="13" t="str">
        <f>LEFT(Z2,1)&amp;"000"</f>
        <v>6000</v>
      </c>
      <c r="AB2" s="11" t="str">
        <f>VLOOKUP(AA2,names!A:B,2,0)</f>
        <v>Telecommunications</v>
      </c>
      <c r="AC2" s="11"/>
      <c r="AD2" s="11">
        <v>1</v>
      </c>
      <c r="AE2" s="11">
        <v>3154857</v>
      </c>
      <c r="AF2" s="11"/>
      <c r="AG2" s="11">
        <v>31.745000000000001</v>
      </c>
      <c r="AH2" s="11">
        <v>1</v>
      </c>
      <c r="AI2" s="11">
        <v>100150935</v>
      </c>
      <c r="AJ2" s="11">
        <v>100150935</v>
      </c>
      <c r="AK2" s="11">
        <v>9.14</v>
      </c>
      <c r="AL2" s="14">
        <f>AK2/100</f>
        <v>9.1400000000000009E-2</v>
      </c>
    </row>
    <row r="3" spans="1:38" x14ac:dyDescent="0.2">
      <c r="A3" s="15">
        <v>41971</v>
      </c>
      <c r="B3" s="16" t="s">
        <v>34</v>
      </c>
      <c r="C3" s="16" t="s">
        <v>35</v>
      </c>
      <c r="D3" s="16" t="s">
        <v>36</v>
      </c>
      <c r="E3" s="16" t="s">
        <v>37</v>
      </c>
      <c r="F3" s="16" t="s">
        <v>38</v>
      </c>
      <c r="G3" s="16"/>
      <c r="H3" s="16"/>
      <c r="I3" s="16"/>
      <c r="J3" s="16"/>
      <c r="K3" s="16">
        <v>1579.65</v>
      </c>
      <c r="L3" s="16">
        <v>30</v>
      </c>
      <c r="M3" s="16"/>
      <c r="N3" s="16">
        <v>1095743460</v>
      </c>
      <c r="O3" s="16">
        <v>693662</v>
      </c>
      <c r="P3" s="16">
        <v>407228</v>
      </c>
      <c r="Q3" s="16" t="s">
        <v>46</v>
      </c>
      <c r="R3" s="16">
        <v>5705946</v>
      </c>
      <c r="S3" s="16" t="s">
        <v>47</v>
      </c>
      <c r="T3" s="16"/>
      <c r="U3" s="16" t="s">
        <v>48</v>
      </c>
      <c r="V3" s="16" t="s">
        <v>49</v>
      </c>
      <c r="W3" s="16" t="str">
        <f>VLOOKUP(V3,names!I:J,2,0)</f>
        <v>Spain</v>
      </c>
      <c r="X3" s="16" t="s">
        <v>38</v>
      </c>
      <c r="Y3" s="16" t="s">
        <v>50</v>
      </c>
      <c r="Z3" s="17">
        <v>8355</v>
      </c>
      <c r="AA3" s="18" t="str">
        <f>LEFT(Z3,1)&amp;"000"</f>
        <v>8000</v>
      </c>
      <c r="AB3" s="16" t="str">
        <f>VLOOKUP(AA3,names!A:B,2,0)</f>
        <v>Financials</v>
      </c>
      <c r="AC3" s="16"/>
      <c r="AD3" s="16">
        <v>1</v>
      </c>
      <c r="AE3" s="16">
        <v>10390337</v>
      </c>
      <c r="AF3" s="16"/>
      <c r="AG3" s="16">
        <v>7.2489999999999997</v>
      </c>
      <c r="AH3" s="16">
        <v>1</v>
      </c>
      <c r="AI3" s="16">
        <v>75319553</v>
      </c>
      <c r="AJ3" s="16">
        <v>75319553</v>
      </c>
      <c r="AK3" s="16">
        <v>6.8738299999999999</v>
      </c>
      <c r="AL3" s="19">
        <f>AK3/100</f>
        <v>6.8738300000000002E-2</v>
      </c>
    </row>
    <row r="4" spans="1:38" x14ac:dyDescent="0.2">
      <c r="A4" s="15">
        <v>41971</v>
      </c>
      <c r="B4" s="16" t="s">
        <v>34</v>
      </c>
      <c r="C4" s="16" t="s">
        <v>35</v>
      </c>
      <c r="D4" s="16" t="s">
        <v>36</v>
      </c>
      <c r="E4" s="16" t="s">
        <v>37</v>
      </c>
      <c r="F4" s="16" t="s">
        <v>38</v>
      </c>
      <c r="G4" s="16"/>
      <c r="H4" s="16"/>
      <c r="I4" s="16"/>
      <c r="J4" s="16"/>
      <c r="K4" s="16">
        <v>1579.65</v>
      </c>
      <c r="L4" s="16">
        <v>30</v>
      </c>
      <c r="M4" s="16"/>
      <c r="N4" s="16">
        <v>1095743460</v>
      </c>
      <c r="O4" s="16">
        <v>693662</v>
      </c>
      <c r="P4" s="16">
        <v>517617</v>
      </c>
      <c r="Q4" s="16" t="s">
        <v>51</v>
      </c>
      <c r="R4" s="16">
        <v>5176177</v>
      </c>
      <c r="S4" s="16" t="s">
        <v>52</v>
      </c>
      <c r="T4" s="16"/>
      <c r="U4" s="16" t="s">
        <v>53</v>
      </c>
      <c r="V4" s="16" t="s">
        <v>54</v>
      </c>
      <c r="W4" s="16" t="str">
        <f>VLOOKUP(V4,names!I:J,2,0)</f>
        <v>France</v>
      </c>
      <c r="X4" s="16" t="s">
        <v>38</v>
      </c>
      <c r="Y4" s="16" t="s">
        <v>55</v>
      </c>
      <c r="Z4" s="17">
        <v>6535</v>
      </c>
      <c r="AA4" s="18" t="str">
        <f>LEFT(Z4,1)&amp;"000"</f>
        <v>6000</v>
      </c>
      <c r="AB4" s="16" t="str">
        <f>VLOOKUP(AA4,names!A:B,2,0)</f>
        <v>Telecommunications</v>
      </c>
      <c r="AC4" s="16"/>
      <c r="AD4" s="16">
        <v>1</v>
      </c>
      <c r="AE4" s="16">
        <v>4823566</v>
      </c>
      <c r="AF4" s="16"/>
      <c r="AG4" s="16">
        <v>14.164999999999999</v>
      </c>
      <c r="AH4" s="16">
        <v>1</v>
      </c>
      <c r="AI4" s="16">
        <v>68325812</v>
      </c>
      <c r="AJ4" s="16">
        <v>68325812</v>
      </c>
      <c r="AK4" s="16">
        <v>6.2355700000000001</v>
      </c>
      <c r="AL4" s="19">
        <f>AK4/100</f>
        <v>6.23557E-2</v>
      </c>
    </row>
    <row r="5" spans="1:38" x14ac:dyDescent="0.2">
      <c r="A5" s="15">
        <v>41971</v>
      </c>
      <c r="B5" s="16" t="s">
        <v>34</v>
      </c>
      <c r="C5" s="16" t="s">
        <v>35</v>
      </c>
      <c r="D5" s="16" t="s">
        <v>36</v>
      </c>
      <c r="E5" s="16" t="s">
        <v>37</v>
      </c>
      <c r="F5" s="16" t="s">
        <v>38</v>
      </c>
      <c r="G5" s="16"/>
      <c r="H5" s="16"/>
      <c r="I5" s="16"/>
      <c r="J5" s="16"/>
      <c r="K5" s="16">
        <v>1579.65</v>
      </c>
      <c r="L5" s="16">
        <v>30</v>
      </c>
      <c r="M5" s="16"/>
      <c r="N5" s="16">
        <v>1095743460</v>
      </c>
      <c r="O5" s="16">
        <v>693662</v>
      </c>
      <c r="P5" s="16">
        <v>492752</v>
      </c>
      <c r="Q5" s="16" t="s">
        <v>56</v>
      </c>
      <c r="R5" s="16">
        <v>4942904</v>
      </c>
      <c r="S5" s="16" t="s">
        <v>57</v>
      </c>
      <c r="T5" s="16"/>
      <c r="U5" s="16" t="s">
        <v>58</v>
      </c>
      <c r="V5" s="16" t="s">
        <v>59</v>
      </c>
      <c r="W5" s="16" t="str">
        <f>VLOOKUP(V5,names!I:J,2,0)</f>
        <v>Germany</v>
      </c>
      <c r="X5" s="16" t="s">
        <v>38</v>
      </c>
      <c r="Y5" s="16" t="s">
        <v>60</v>
      </c>
      <c r="Z5" s="17">
        <v>7575</v>
      </c>
      <c r="AA5" s="18" t="str">
        <f>LEFT(Z5,1)&amp;"000"</f>
        <v>7000</v>
      </c>
      <c r="AB5" s="16" t="str">
        <f>VLOOKUP(AA5,names!A:B,2,0)</f>
        <v>Utilities</v>
      </c>
      <c r="AC5" s="16"/>
      <c r="AD5" s="16">
        <v>1</v>
      </c>
      <c r="AE5" s="16">
        <v>3996021</v>
      </c>
      <c r="AF5" s="16"/>
      <c r="AG5" s="16">
        <v>14.255000000000001</v>
      </c>
      <c r="AH5" s="16">
        <v>1</v>
      </c>
      <c r="AI5" s="16">
        <v>56963279</v>
      </c>
      <c r="AJ5" s="16">
        <v>56963279</v>
      </c>
      <c r="AK5" s="16">
        <v>5.1985999999999999</v>
      </c>
      <c r="AL5" s="19">
        <f>AK5/100</f>
        <v>5.1985999999999997E-2</v>
      </c>
    </row>
    <row r="6" spans="1:38" x14ac:dyDescent="0.2">
      <c r="A6" s="15">
        <v>41971</v>
      </c>
      <c r="B6" s="16" t="s">
        <v>34</v>
      </c>
      <c r="C6" s="16" t="s">
        <v>35</v>
      </c>
      <c r="D6" s="16" t="s">
        <v>36</v>
      </c>
      <c r="E6" s="16" t="s">
        <v>37</v>
      </c>
      <c r="F6" s="16" t="s">
        <v>38</v>
      </c>
      <c r="G6" s="16"/>
      <c r="H6" s="16"/>
      <c r="I6" s="16"/>
      <c r="J6" s="16"/>
      <c r="K6" s="16">
        <v>1579.65</v>
      </c>
      <c r="L6" s="16">
        <v>30</v>
      </c>
      <c r="M6" s="16"/>
      <c r="N6" s="16">
        <v>1095743460</v>
      </c>
      <c r="O6" s="16">
        <v>693662</v>
      </c>
      <c r="P6" s="16">
        <v>557955</v>
      </c>
      <c r="Q6" s="16" t="s">
        <v>61</v>
      </c>
      <c r="R6" s="16">
        <v>5579550</v>
      </c>
      <c r="S6" s="16" t="s">
        <v>62</v>
      </c>
      <c r="T6" s="16"/>
      <c r="U6" s="16" t="s">
        <v>63</v>
      </c>
      <c r="V6" s="16" t="s">
        <v>64</v>
      </c>
      <c r="W6" s="16" t="str">
        <f>VLOOKUP(V6,names!I:J,2,0)</f>
        <v>Finland</v>
      </c>
      <c r="X6" s="16" t="s">
        <v>38</v>
      </c>
      <c r="Y6" s="16" t="s">
        <v>65</v>
      </c>
      <c r="Z6" s="17">
        <v>7535</v>
      </c>
      <c r="AA6" s="18" t="str">
        <f>LEFT(Z6,1)&amp;"000"</f>
        <v>7000</v>
      </c>
      <c r="AB6" s="16" t="str">
        <f>VLOOKUP(AA6,names!A:B,2,0)</f>
        <v>Utilities</v>
      </c>
      <c r="AC6" s="16"/>
      <c r="AD6" s="16">
        <v>1</v>
      </c>
      <c r="AE6" s="16">
        <v>2496777</v>
      </c>
      <c r="AF6" s="16"/>
      <c r="AG6" s="16">
        <v>20.18</v>
      </c>
      <c r="AH6" s="16">
        <v>1</v>
      </c>
      <c r="AI6" s="16">
        <v>50384960</v>
      </c>
      <c r="AJ6" s="16">
        <v>50384960</v>
      </c>
      <c r="AK6" s="16">
        <v>4.5982399999999997</v>
      </c>
      <c r="AL6" s="19">
        <f>AK6/100</f>
        <v>4.59824E-2</v>
      </c>
    </row>
    <row r="7" spans="1:38" x14ac:dyDescent="0.2">
      <c r="A7" s="15">
        <v>41971</v>
      </c>
      <c r="B7" s="16" t="s">
        <v>34</v>
      </c>
      <c r="C7" s="16" t="s">
        <v>35</v>
      </c>
      <c r="D7" s="16" t="s">
        <v>36</v>
      </c>
      <c r="E7" s="16" t="s">
        <v>37</v>
      </c>
      <c r="F7" s="16" t="s">
        <v>38</v>
      </c>
      <c r="G7" s="16"/>
      <c r="H7" s="16"/>
      <c r="I7" s="16"/>
      <c r="J7" s="16"/>
      <c r="K7" s="16">
        <v>1579.65</v>
      </c>
      <c r="L7" s="16">
        <v>30</v>
      </c>
      <c r="M7" s="16"/>
      <c r="N7" s="16">
        <v>1095743460</v>
      </c>
      <c r="O7" s="16">
        <v>693662</v>
      </c>
      <c r="P7" s="16">
        <v>725147</v>
      </c>
      <c r="Q7" s="16" t="s">
        <v>66</v>
      </c>
      <c r="R7" s="16">
        <v>7251470</v>
      </c>
      <c r="S7" s="16" t="s">
        <v>67</v>
      </c>
      <c r="T7" s="16"/>
      <c r="U7" s="16" t="s">
        <v>68</v>
      </c>
      <c r="V7" s="16" t="s">
        <v>69</v>
      </c>
      <c r="W7" s="16" t="str">
        <f>VLOOKUP(V7,names!I:J,2,0)</f>
        <v>Italy</v>
      </c>
      <c r="X7" s="16" t="s">
        <v>38</v>
      </c>
      <c r="Y7" s="16" t="s">
        <v>70</v>
      </c>
      <c r="Z7" s="17">
        <v>7573</v>
      </c>
      <c r="AA7" s="18" t="str">
        <f>LEFT(Z7,1)&amp;"000"</f>
        <v>7000</v>
      </c>
      <c r="AB7" s="16" t="str">
        <f>VLOOKUP(AA7,names!A:B,2,0)</f>
        <v>Utilities</v>
      </c>
      <c r="AC7" s="16"/>
      <c r="AD7" s="16">
        <v>1</v>
      </c>
      <c r="AE7" s="16">
        <v>10919289</v>
      </c>
      <c r="AF7" s="16"/>
      <c r="AG7" s="16">
        <v>4.2640000000000002</v>
      </c>
      <c r="AH7" s="16">
        <v>1</v>
      </c>
      <c r="AI7" s="16">
        <v>46559848</v>
      </c>
      <c r="AJ7" s="16">
        <v>46559848</v>
      </c>
      <c r="AK7" s="16">
        <v>4.2491599999999998</v>
      </c>
      <c r="AL7" s="19">
        <f>AK7/100</f>
        <v>4.2491599999999997E-2</v>
      </c>
    </row>
    <row r="8" spans="1:38" x14ac:dyDescent="0.2">
      <c r="A8" s="15">
        <v>41971</v>
      </c>
      <c r="B8" s="16" t="s">
        <v>34</v>
      </c>
      <c r="C8" s="16" t="s">
        <v>35</v>
      </c>
      <c r="D8" s="16" t="s">
        <v>36</v>
      </c>
      <c r="E8" s="16" t="s">
        <v>37</v>
      </c>
      <c r="F8" s="16" t="s">
        <v>38</v>
      </c>
      <c r="G8" s="16"/>
      <c r="H8" s="16"/>
      <c r="I8" s="16"/>
      <c r="J8" s="16"/>
      <c r="K8" s="16">
        <v>1579.65</v>
      </c>
      <c r="L8" s="16">
        <v>30</v>
      </c>
      <c r="M8" s="16"/>
      <c r="N8" s="16">
        <v>1095743460</v>
      </c>
      <c r="O8" s="16">
        <v>693662</v>
      </c>
      <c r="P8" s="16">
        <v>443639</v>
      </c>
      <c r="Q8" s="16" t="s">
        <v>71</v>
      </c>
      <c r="R8" s="16">
        <v>7145056</v>
      </c>
      <c r="S8" s="16" t="s">
        <v>72</v>
      </c>
      <c r="T8" s="16"/>
      <c r="U8" s="16" t="s">
        <v>73</v>
      </c>
      <c r="V8" s="16" t="s">
        <v>69</v>
      </c>
      <c r="W8" s="16" t="str">
        <f>VLOOKUP(V8,names!I:J,2,0)</f>
        <v>Italy</v>
      </c>
      <c r="X8" s="16" t="s">
        <v>38</v>
      </c>
      <c r="Y8" s="16" t="s">
        <v>70</v>
      </c>
      <c r="Z8" s="20" t="s">
        <v>334</v>
      </c>
      <c r="AA8" s="18" t="str">
        <f>LEFT(Z8,1)&amp;"001"</f>
        <v>0001</v>
      </c>
      <c r="AB8" s="16" t="str">
        <f>VLOOKUP(AA8,names!A:B,2,0)</f>
        <v>Oil &amp; Gas</v>
      </c>
      <c r="AC8" s="16"/>
      <c r="AD8" s="16">
        <v>1</v>
      </c>
      <c r="AE8" s="16">
        <v>2691420</v>
      </c>
      <c r="AF8" s="16"/>
      <c r="AG8" s="16">
        <v>16.07</v>
      </c>
      <c r="AH8" s="16">
        <v>1</v>
      </c>
      <c r="AI8" s="16">
        <v>43251119</v>
      </c>
      <c r="AJ8" s="16">
        <v>43251119</v>
      </c>
      <c r="AK8" s="16">
        <v>3.94719</v>
      </c>
      <c r="AL8" s="19">
        <f>AK8/100</f>
        <v>3.9471899999999997E-2</v>
      </c>
    </row>
    <row r="9" spans="1:38" x14ac:dyDescent="0.2">
      <c r="A9" s="15">
        <v>41971</v>
      </c>
      <c r="B9" s="16" t="s">
        <v>34</v>
      </c>
      <c r="C9" s="16" t="s">
        <v>35</v>
      </c>
      <c r="D9" s="16" t="s">
        <v>36</v>
      </c>
      <c r="E9" s="16" t="s">
        <v>37</v>
      </c>
      <c r="F9" s="16" t="s">
        <v>38</v>
      </c>
      <c r="G9" s="16"/>
      <c r="H9" s="16"/>
      <c r="I9" s="16"/>
      <c r="J9" s="16"/>
      <c r="K9" s="16">
        <v>1579.65</v>
      </c>
      <c r="L9" s="16">
        <v>30</v>
      </c>
      <c r="M9" s="16"/>
      <c r="N9" s="16">
        <v>1095743460</v>
      </c>
      <c r="O9" s="16">
        <v>693662</v>
      </c>
      <c r="P9" s="16">
        <v>524918</v>
      </c>
      <c r="Q9" s="16" t="s">
        <v>74</v>
      </c>
      <c r="R9" s="16">
        <v>4103596</v>
      </c>
      <c r="S9" s="16" t="s">
        <v>75</v>
      </c>
      <c r="T9" s="16"/>
      <c r="U9" s="16" t="s">
        <v>76</v>
      </c>
      <c r="V9" s="16" t="s">
        <v>77</v>
      </c>
      <c r="W9" s="16" t="str">
        <f>VLOOKUP(V9,names!I:J,2,0)</f>
        <v>Portugal</v>
      </c>
      <c r="X9" s="16" t="s">
        <v>38</v>
      </c>
      <c r="Y9" s="16" t="s">
        <v>78</v>
      </c>
      <c r="Z9" s="17">
        <v>7537</v>
      </c>
      <c r="AA9" s="18" t="str">
        <f>LEFT(Z9,1)&amp;"000"</f>
        <v>7000</v>
      </c>
      <c r="AB9" s="16" t="str">
        <f>VLOOKUP(AA9,names!A:B,2,0)</f>
        <v>Utilities</v>
      </c>
      <c r="AC9" s="16"/>
      <c r="AD9" s="16">
        <v>1</v>
      </c>
      <c r="AE9" s="16">
        <v>12603091</v>
      </c>
      <c r="AF9" s="16"/>
      <c r="AG9" s="16">
        <v>3.2989999999999999</v>
      </c>
      <c r="AH9" s="16">
        <v>1</v>
      </c>
      <c r="AI9" s="16">
        <v>41577597</v>
      </c>
      <c r="AJ9" s="16">
        <v>41577597</v>
      </c>
      <c r="AK9" s="16">
        <v>3.7944599999999999</v>
      </c>
      <c r="AL9" s="19">
        <f>AK9/100</f>
        <v>3.7944600000000002E-2</v>
      </c>
    </row>
    <row r="10" spans="1:38" x14ac:dyDescent="0.2">
      <c r="A10" s="15">
        <v>41971</v>
      </c>
      <c r="B10" s="16" t="s">
        <v>34</v>
      </c>
      <c r="C10" s="16" t="s">
        <v>35</v>
      </c>
      <c r="D10" s="16" t="s">
        <v>36</v>
      </c>
      <c r="E10" s="16" t="s">
        <v>37</v>
      </c>
      <c r="F10" s="16" t="s">
        <v>38</v>
      </c>
      <c r="G10" s="16"/>
      <c r="H10" s="16"/>
      <c r="I10" s="16"/>
      <c r="J10" s="16"/>
      <c r="K10" s="16">
        <v>1579.65</v>
      </c>
      <c r="L10" s="16">
        <v>30</v>
      </c>
      <c r="M10" s="16"/>
      <c r="N10" s="16">
        <v>1095743460</v>
      </c>
      <c r="O10" s="16">
        <v>693662</v>
      </c>
      <c r="P10" s="16">
        <v>491134</v>
      </c>
      <c r="Q10" s="16" t="s">
        <v>79</v>
      </c>
      <c r="R10" s="16" t="s">
        <v>80</v>
      </c>
      <c r="S10" s="16" t="s">
        <v>81</v>
      </c>
      <c r="T10" s="16"/>
      <c r="U10" s="16" t="s">
        <v>82</v>
      </c>
      <c r="V10" s="16" t="s">
        <v>54</v>
      </c>
      <c r="W10" s="16" t="str">
        <f>VLOOKUP(V10,names!I:J,2,0)</f>
        <v>France</v>
      </c>
      <c r="X10" s="16" t="s">
        <v>38</v>
      </c>
      <c r="Y10" s="16" t="s">
        <v>83</v>
      </c>
      <c r="Z10" s="17">
        <v>8672</v>
      </c>
      <c r="AA10" s="18" t="str">
        <f>LEFT(Z10,1)&amp;"000"</f>
        <v>8000</v>
      </c>
      <c r="AB10" s="16" t="str">
        <f>VLOOKUP(AA10,names!A:B,2,0)</f>
        <v>Financials</v>
      </c>
      <c r="AC10" s="16"/>
      <c r="AD10" s="16">
        <v>1</v>
      </c>
      <c r="AE10" s="16">
        <v>189751</v>
      </c>
      <c r="AF10" s="16"/>
      <c r="AG10" s="16">
        <v>212.5</v>
      </c>
      <c r="AH10" s="16">
        <v>1</v>
      </c>
      <c r="AI10" s="16">
        <v>40322088</v>
      </c>
      <c r="AJ10" s="16">
        <v>40322088</v>
      </c>
      <c r="AK10" s="16">
        <v>3.6798799999999998</v>
      </c>
      <c r="AL10" s="19">
        <f>AK10/100</f>
        <v>3.67988E-2</v>
      </c>
    </row>
    <row r="11" spans="1:38" x14ac:dyDescent="0.2">
      <c r="A11" s="21">
        <v>41971</v>
      </c>
      <c r="B11" s="22" t="s">
        <v>34</v>
      </c>
      <c r="C11" s="22" t="s">
        <v>35</v>
      </c>
      <c r="D11" s="22" t="s">
        <v>36</v>
      </c>
      <c r="E11" s="22" t="s">
        <v>37</v>
      </c>
      <c r="F11" s="22" t="s">
        <v>38</v>
      </c>
      <c r="G11" s="22"/>
      <c r="H11" s="22"/>
      <c r="I11" s="22"/>
      <c r="J11" s="22"/>
      <c r="K11" s="22">
        <v>1579.65</v>
      </c>
      <c r="L11" s="22">
        <v>30</v>
      </c>
      <c r="M11" s="22"/>
      <c r="N11" s="22">
        <v>1095743460</v>
      </c>
      <c r="O11" s="22">
        <v>693662</v>
      </c>
      <c r="P11" s="22">
        <v>461785</v>
      </c>
      <c r="Q11" s="22" t="s">
        <v>84</v>
      </c>
      <c r="R11" s="22">
        <v>4617859</v>
      </c>
      <c r="S11" s="22" t="s">
        <v>85</v>
      </c>
      <c r="T11" s="22"/>
      <c r="U11" s="22" t="s">
        <v>86</v>
      </c>
      <c r="V11" s="22" t="s">
        <v>59</v>
      </c>
      <c r="W11" s="22" t="str">
        <f>VLOOKUP(V11,names!I:J,2,0)</f>
        <v>Germany</v>
      </c>
      <c r="X11" s="22" t="s">
        <v>38</v>
      </c>
      <c r="Y11" s="22" t="s">
        <v>60</v>
      </c>
      <c r="Z11" s="23">
        <v>2771</v>
      </c>
      <c r="AA11" s="24" t="str">
        <f>LEFT(Z11,1)&amp;"000"</f>
        <v>2000</v>
      </c>
      <c r="AB11" s="22" t="str">
        <f>VLOOKUP(AA11,names!A:B,2,0)</f>
        <v>Industrials</v>
      </c>
      <c r="AC11" s="22"/>
      <c r="AD11" s="22">
        <v>1</v>
      </c>
      <c r="AE11" s="22">
        <v>1348635</v>
      </c>
      <c r="AF11" s="22"/>
      <c r="AG11" s="22">
        <v>26.715</v>
      </c>
      <c r="AH11" s="22">
        <v>1</v>
      </c>
      <c r="AI11" s="22">
        <v>36028784</v>
      </c>
      <c r="AJ11" s="22">
        <v>36028784</v>
      </c>
      <c r="AK11" s="22">
        <v>3.2880699999999998</v>
      </c>
      <c r="AL11" s="25">
        <f>AK11/100</f>
        <v>3.2880699999999999E-2</v>
      </c>
    </row>
    <row r="12" spans="1:38" x14ac:dyDescent="0.2">
      <c r="A12" s="1">
        <v>41971</v>
      </c>
      <c r="B12" t="s">
        <v>34</v>
      </c>
      <c r="C12" t="s">
        <v>35</v>
      </c>
      <c r="D12" t="s">
        <v>36</v>
      </c>
      <c r="E12" t="s">
        <v>37</v>
      </c>
      <c r="F12" t="s">
        <v>38</v>
      </c>
      <c r="K12">
        <v>1579.65</v>
      </c>
      <c r="L12">
        <v>30</v>
      </c>
      <c r="N12">
        <v>1095743460</v>
      </c>
      <c r="O12">
        <v>693662</v>
      </c>
      <c r="P12">
        <v>491207</v>
      </c>
      <c r="Q12" t="s">
        <v>87</v>
      </c>
      <c r="R12" t="s">
        <v>88</v>
      </c>
      <c r="S12" t="s">
        <v>89</v>
      </c>
      <c r="U12" t="s">
        <v>90</v>
      </c>
      <c r="V12" t="s">
        <v>91</v>
      </c>
      <c r="W12" t="str">
        <f>VLOOKUP(V12,names!I:J,2,0)</f>
        <v>Netherlands</v>
      </c>
      <c r="X12" t="s">
        <v>38</v>
      </c>
      <c r="Y12" t="s">
        <v>83</v>
      </c>
      <c r="Z12" s="3">
        <v>3577</v>
      </c>
      <c r="AA12" s="5" t="str">
        <f>LEFT(Z12,1)&amp;"000"</f>
        <v>3000</v>
      </c>
      <c r="AB12" t="str">
        <f>VLOOKUP(AA12,names!A:B,2,0)</f>
        <v>Consumer Goods</v>
      </c>
      <c r="AD12">
        <v>1</v>
      </c>
      <c r="AE12">
        <v>1060417</v>
      </c>
      <c r="AG12">
        <v>32.755000000000003</v>
      </c>
      <c r="AH12">
        <v>1</v>
      </c>
      <c r="AI12">
        <v>34733959</v>
      </c>
      <c r="AJ12">
        <v>34733959</v>
      </c>
      <c r="AK12">
        <v>3.1699000000000002</v>
      </c>
      <c r="AL12" s="8">
        <f>AK12/100</f>
        <v>3.1699000000000005E-2</v>
      </c>
    </row>
    <row r="13" spans="1:38" x14ac:dyDescent="0.2">
      <c r="A13" s="1">
        <v>41971</v>
      </c>
      <c r="B13" t="s">
        <v>34</v>
      </c>
      <c r="C13" t="s">
        <v>35</v>
      </c>
      <c r="D13" t="s">
        <v>36</v>
      </c>
      <c r="E13" t="s">
        <v>37</v>
      </c>
      <c r="F13" t="s">
        <v>38</v>
      </c>
      <c r="K13">
        <v>1579.65</v>
      </c>
      <c r="L13">
        <v>30</v>
      </c>
      <c r="N13">
        <v>1095743460</v>
      </c>
      <c r="O13">
        <v>693662</v>
      </c>
      <c r="P13">
        <v>461075</v>
      </c>
      <c r="Q13" t="s">
        <v>92</v>
      </c>
      <c r="R13">
        <v>5294121</v>
      </c>
      <c r="S13" t="s">
        <v>93</v>
      </c>
      <c r="U13" t="s">
        <v>94</v>
      </c>
      <c r="V13" t="s">
        <v>59</v>
      </c>
      <c r="W13" t="str">
        <f>VLOOKUP(V13,names!I:J,2,0)</f>
        <v>Germany</v>
      </c>
      <c r="X13" t="s">
        <v>38</v>
      </c>
      <c r="Y13" t="s">
        <v>60</v>
      </c>
      <c r="Z13" s="3">
        <v>8538</v>
      </c>
      <c r="AA13" s="5" t="str">
        <f>LEFT(Z13,1)&amp;"000"</f>
        <v>8000</v>
      </c>
      <c r="AB13" t="str">
        <f>VLOOKUP(AA13,names!A:B,2,0)</f>
        <v>Financials</v>
      </c>
      <c r="AD13">
        <v>1</v>
      </c>
      <c r="AE13">
        <v>207082</v>
      </c>
      <c r="AG13">
        <v>165.65</v>
      </c>
      <c r="AH13">
        <v>1</v>
      </c>
      <c r="AI13">
        <v>34303133</v>
      </c>
      <c r="AJ13">
        <v>34303133</v>
      </c>
      <c r="AK13">
        <v>3.1305800000000001</v>
      </c>
      <c r="AL13" s="8">
        <f>AK13/100</f>
        <v>3.1305800000000002E-2</v>
      </c>
    </row>
    <row r="14" spans="1:38" x14ac:dyDescent="0.2">
      <c r="A14" s="1">
        <v>41971</v>
      </c>
      <c r="B14" t="s">
        <v>34</v>
      </c>
      <c r="C14" t="s">
        <v>35</v>
      </c>
      <c r="D14" t="s">
        <v>36</v>
      </c>
      <c r="E14" t="s">
        <v>37</v>
      </c>
      <c r="F14" t="s">
        <v>38</v>
      </c>
      <c r="K14">
        <v>1579.65</v>
      </c>
      <c r="L14">
        <v>30</v>
      </c>
      <c r="N14">
        <v>1095743460</v>
      </c>
      <c r="O14">
        <v>693662</v>
      </c>
      <c r="P14">
        <v>451180</v>
      </c>
      <c r="Q14" t="s">
        <v>95</v>
      </c>
      <c r="R14">
        <v>4511809</v>
      </c>
      <c r="S14" t="s">
        <v>96</v>
      </c>
      <c r="U14" t="s">
        <v>97</v>
      </c>
      <c r="V14" t="s">
        <v>59</v>
      </c>
      <c r="W14" t="str">
        <f>VLOOKUP(V14,names!I:J,2,0)</f>
        <v>Germany</v>
      </c>
      <c r="X14" t="s">
        <v>38</v>
      </c>
      <c r="Y14" t="s">
        <v>60</v>
      </c>
      <c r="Z14" s="3">
        <v>8538</v>
      </c>
      <c r="AA14" s="5" t="str">
        <f>LEFT(Z14,1)&amp;"000"</f>
        <v>8000</v>
      </c>
      <c r="AB14" t="str">
        <f>VLOOKUP(AA14,names!A:B,2,0)</f>
        <v>Financials</v>
      </c>
      <c r="AD14">
        <v>1</v>
      </c>
      <c r="AE14">
        <v>476193</v>
      </c>
      <c r="AG14">
        <v>71.760000000000005</v>
      </c>
      <c r="AH14">
        <v>1</v>
      </c>
      <c r="AI14">
        <v>34171610</v>
      </c>
      <c r="AJ14">
        <v>34171610</v>
      </c>
      <c r="AK14">
        <v>3.1185800000000001</v>
      </c>
      <c r="AL14" s="8">
        <f>AK14/100</f>
        <v>3.11858E-2</v>
      </c>
    </row>
    <row r="15" spans="1:38" x14ac:dyDescent="0.2">
      <c r="A15" s="1">
        <v>41971</v>
      </c>
      <c r="B15" t="s">
        <v>34</v>
      </c>
      <c r="C15" t="s">
        <v>35</v>
      </c>
      <c r="D15" t="s">
        <v>36</v>
      </c>
      <c r="E15" t="s">
        <v>37</v>
      </c>
      <c r="F15" t="s">
        <v>38</v>
      </c>
      <c r="K15">
        <v>1579.65</v>
      </c>
      <c r="L15">
        <v>30</v>
      </c>
      <c r="N15">
        <v>1095743460</v>
      </c>
      <c r="O15">
        <v>693662</v>
      </c>
      <c r="P15">
        <v>555465</v>
      </c>
      <c r="Q15" t="s">
        <v>98</v>
      </c>
      <c r="R15">
        <v>7667163</v>
      </c>
      <c r="S15" t="s">
        <v>99</v>
      </c>
      <c r="U15" t="s">
        <v>100</v>
      </c>
      <c r="V15" t="s">
        <v>69</v>
      </c>
      <c r="W15" t="str">
        <f>VLOOKUP(V15,names!I:J,2,0)</f>
        <v>Italy</v>
      </c>
      <c r="X15" t="s">
        <v>38</v>
      </c>
      <c r="Y15" t="s">
        <v>70</v>
      </c>
      <c r="Z15" s="3">
        <v>2777</v>
      </c>
      <c r="AA15" s="5" t="str">
        <f>LEFT(Z15,1)&amp;"000"</f>
        <v>2000</v>
      </c>
      <c r="AB15" t="str">
        <f>VLOOKUP(AA15,names!A:B,2,0)</f>
        <v>Industrials</v>
      </c>
      <c r="AD15">
        <v>1</v>
      </c>
      <c r="AE15">
        <v>1666105</v>
      </c>
      <c r="AG15">
        <v>20.28</v>
      </c>
      <c r="AH15">
        <v>1</v>
      </c>
      <c r="AI15">
        <v>33788609</v>
      </c>
      <c r="AJ15">
        <v>33788609</v>
      </c>
      <c r="AK15">
        <v>3.0836199999999998</v>
      </c>
      <c r="AL15" s="8">
        <f>AK15/100</f>
        <v>3.0836199999999998E-2</v>
      </c>
    </row>
    <row r="16" spans="1:38" x14ac:dyDescent="0.2">
      <c r="A16" s="1">
        <v>41971</v>
      </c>
      <c r="B16" t="s">
        <v>34</v>
      </c>
      <c r="C16" t="s">
        <v>35</v>
      </c>
      <c r="D16" t="s">
        <v>36</v>
      </c>
      <c r="E16" t="s">
        <v>37</v>
      </c>
      <c r="F16" t="s">
        <v>38</v>
      </c>
      <c r="K16">
        <v>1579.65</v>
      </c>
      <c r="L16">
        <v>30</v>
      </c>
      <c r="N16">
        <v>1095743460</v>
      </c>
      <c r="O16">
        <v>693662</v>
      </c>
      <c r="P16">
        <v>490541</v>
      </c>
      <c r="Q16" t="s">
        <v>101</v>
      </c>
      <c r="R16" t="s">
        <v>102</v>
      </c>
      <c r="S16" t="s">
        <v>103</v>
      </c>
      <c r="U16" t="s">
        <v>104</v>
      </c>
      <c r="V16" t="s">
        <v>54</v>
      </c>
      <c r="W16" t="str">
        <f>VLOOKUP(V16,names!I:J,2,0)</f>
        <v>France</v>
      </c>
      <c r="X16" t="s">
        <v>38</v>
      </c>
      <c r="Y16" t="s">
        <v>55</v>
      </c>
      <c r="Z16" s="4" t="s">
        <v>334</v>
      </c>
      <c r="AA16" s="5" t="str">
        <f>LEFT(Z16,1)&amp;"001"</f>
        <v>0001</v>
      </c>
      <c r="AB16" t="str">
        <f>VLOOKUP(AA16,names!A:B,2,0)</f>
        <v>Oil &amp; Gas</v>
      </c>
      <c r="AD16">
        <v>1</v>
      </c>
      <c r="AE16">
        <v>712541</v>
      </c>
      <c r="AG16">
        <v>44.99</v>
      </c>
      <c r="AH16">
        <v>1</v>
      </c>
      <c r="AI16">
        <v>32057220</v>
      </c>
      <c r="AJ16">
        <v>32057220</v>
      </c>
      <c r="AK16">
        <v>2.9256099999999998</v>
      </c>
      <c r="AL16" s="8">
        <f>AK16/100</f>
        <v>2.9256099999999997E-2</v>
      </c>
    </row>
    <row r="17" spans="1:38" x14ac:dyDescent="0.2">
      <c r="A17" s="1">
        <v>41971</v>
      </c>
      <c r="B17" t="s">
        <v>34</v>
      </c>
      <c r="C17" t="s">
        <v>35</v>
      </c>
      <c r="D17" t="s">
        <v>36</v>
      </c>
      <c r="E17" t="s">
        <v>37</v>
      </c>
      <c r="F17" t="s">
        <v>38</v>
      </c>
      <c r="K17">
        <v>1579.65</v>
      </c>
      <c r="L17">
        <v>30</v>
      </c>
      <c r="N17">
        <v>1095743460</v>
      </c>
      <c r="O17">
        <v>693662</v>
      </c>
      <c r="P17">
        <v>430230</v>
      </c>
      <c r="Q17" t="s">
        <v>105</v>
      </c>
      <c r="R17">
        <v>4834777</v>
      </c>
      <c r="S17" t="s">
        <v>106</v>
      </c>
      <c r="U17" t="s">
        <v>107</v>
      </c>
      <c r="V17" t="s">
        <v>54</v>
      </c>
      <c r="W17" t="str">
        <f>VLOOKUP(V17,names!I:J,2,0)</f>
        <v>France</v>
      </c>
      <c r="X17" t="s">
        <v>38</v>
      </c>
      <c r="Y17" t="s">
        <v>55</v>
      </c>
      <c r="Z17" s="3">
        <v>5553</v>
      </c>
      <c r="AA17" s="5" t="str">
        <f>LEFT(Z17,1)&amp;"000"</f>
        <v>5000</v>
      </c>
      <c r="AB17" t="str">
        <f>VLOOKUP(AA17,names!A:B,2,0)</f>
        <v>Consumer Services</v>
      </c>
      <c r="AD17">
        <v>1</v>
      </c>
      <c r="AE17">
        <v>1563810</v>
      </c>
      <c r="AG17">
        <v>20.48</v>
      </c>
      <c r="AH17">
        <v>1</v>
      </c>
      <c r="AI17">
        <v>32026829</v>
      </c>
      <c r="AJ17">
        <v>32026829</v>
      </c>
      <c r="AK17">
        <v>2.9228399999999999</v>
      </c>
      <c r="AL17" s="8">
        <f>AK17/100</f>
        <v>2.9228399999999998E-2</v>
      </c>
    </row>
    <row r="18" spans="1:38" x14ac:dyDescent="0.2">
      <c r="A18" s="1">
        <v>41971</v>
      </c>
      <c r="B18" t="s">
        <v>34</v>
      </c>
      <c r="C18" t="s">
        <v>35</v>
      </c>
      <c r="D18" t="s">
        <v>36</v>
      </c>
      <c r="E18" t="s">
        <v>37</v>
      </c>
      <c r="F18" t="s">
        <v>38</v>
      </c>
      <c r="K18">
        <v>1579.65</v>
      </c>
      <c r="L18">
        <v>30</v>
      </c>
      <c r="N18">
        <v>1095743460</v>
      </c>
      <c r="O18">
        <v>693662</v>
      </c>
      <c r="P18">
        <v>401632</v>
      </c>
      <c r="Q18" t="s">
        <v>108</v>
      </c>
      <c r="R18">
        <v>5231485</v>
      </c>
      <c r="S18" t="s">
        <v>109</v>
      </c>
      <c r="U18" t="s">
        <v>110</v>
      </c>
      <c r="V18" t="s">
        <v>59</v>
      </c>
      <c r="W18" t="str">
        <f>VLOOKUP(V18,names!I:J,2,0)</f>
        <v>Germany</v>
      </c>
      <c r="X18" t="s">
        <v>38</v>
      </c>
      <c r="Y18" t="s">
        <v>60</v>
      </c>
      <c r="Z18" s="3">
        <v>8532</v>
      </c>
      <c r="AA18" s="5" t="str">
        <f>LEFT(Z18,1)&amp;"000"</f>
        <v>8000</v>
      </c>
      <c r="AB18" t="str">
        <f>VLOOKUP(AA18,names!A:B,2,0)</f>
        <v>Financials</v>
      </c>
      <c r="AD18">
        <v>1</v>
      </c>
      <c r="AE18">
        <v>229299</v>
      </c>
      <c r="AG18">
        <v>138.44999999999999</v>
      </c>
      <c r="AH18">
        <v>1</v>
      </c>
      <c r="AI18">
        <v>31746447</v>
      </c>
      <c r="AJ18">
        <v>31746447</v>
      </c>
      <c r="AK18">
        <v>2.8972500000000001</v>
      </c>
      <c r="AL18" s="8">
        <f>AK18/100</f>
        <v>2.8972500000000002E-2</v>
      </c>
    </row>
    <row r="19" spans="1:38" x14ac:dyDescent="0.2">
      <c r="A19" s="1">
        <v>41971</v>
      </c>
      <c r="B19" t="s">
        <v>34</v>
      </c>
      <c r="C19" t="s">
        <v>35</v>
      </c>
      <c r="D19" t="s">
        <v>36</v>
      </c>
      <c r="E19" t="s">
        <v>37</v>
      </c>
      <c r="F19" t="s">
        <v>38</v>
      </c>
      <c r="K19">
        <v>1579.65</v>
      </c>
      <c r="L19">
        <v>30</v>
      </c>
      <c r="N19">
        <v>1095743460</v>
      </c>
      <c r="O19">
        <v>693662</v>
      </c>
      <c r="P19">
        <v>479736</v>
      </c>
      <c r="Q19" t="s">
        <v>111</v>
      </c>
      <c r="R19" t="s">
        <v>112</v>
      </c>
      <c r="S19" t="s">
        <v>113</v>
      </c>
      <c r="U19" t="s">
        <v>114</v>
      </c>
      <c r="V19" t="s">
        <v>54</v>
      </c>
      <c r="W19" t="str">
        <f>VLOOKUP(V19,names!I:J,2,0)</f>
        <v>France</v>
      </c>
      <c r="X19" t="s">
        <v>38</v>
      </c>
      <c r="Y19" t="s">
        <v>55</v>
      </c>
      <c r="Z19" s="3">
        <v>8538</v>
      </c>
      <c r="AA19" s="5" t="str">
        <f>LEFT(Z19,1)&amp;"000"</f>
        <v>8000</v>
      </c>
      <c r="AB19" t="str">
        <f>VLOOKUP(AA19,names!A:B,2,0)</f>
        <v>Financials</v>
      </c>
      <c r="AD19">
        <v>1</v>
      </c>
      <c r="AE19">
        <v>1254744</v>
      </c>
      <c r="AG19">
        <v>25.09</v>
      </c>
      <c r="AH19">
        <v>1</v>
      </c>
      <c r="AI19">
        <v>31481527</v>
      </c>
      <c r="AJ19">
        <v>31481527</v>
      </c>
      <c r="AK19">
        <v>2.8730699999999998</v>
      </c>
      <c r="AL19" s="8">
        <f>AK19/100</f>
        <v>2.8730699999999998E-2</v>
      </c>
    </row>
    <row r="20" spans="1:38" x14ac:dyDescent="0.2">
      <c r="A20" s="1">
        <v>41971</v>
      </c>
      <c r="B20" t="s">
        <v>34</v>
      </c>
      <c r="C20" t="s">
        <v>35</v>
      </c>
      <c r="D20" t="s">
        <v>36</v>
      </c>
      <c r="E20" t="s">
        <v>37</v>
      </c>
      <c r="F20" t="s">
        <v>38</v>
      </c>
      <c r="K20">
        <v>1579.65</v>
      </c>
      <c r="L20">
        <v>30</v>
      </c>
      <c r="N20">
        <v>1095743460</v>
      </c>
      <c r="O20">
        <v>693662</v>
      </c>
      <c r="P20">
        <v>497711</v>
      </c>
      <c r="Q20" t="s">
        <v>115</v>
      </c>
      <c r="R20">
        <v>5671519</v>
      </c>
      <c r="S20" t="s">
        <v>116</v>
      </c>
      <c r="U20" t="s">
        <v>117</v>
      </c>
      <c r="V20" t="s">
        <v>91</v>
      </c>
      <c r="W20" t="str">
        <f>VLOOKUP(V20,names!I:J,2,0)</f>
        <v>Netherlands</v>
      </c>
      <c r="X20" t="s">
        <v>38</v>
      </c>
      <c r="Y20" t="s">
        <v>83</v>
      </c>
      <c r="Z20" s="3">
        <v>5557</v>
      </c>
      <c r="AA20" s="5" t="str">
        <f>LEFT(Z20,1)&amp;"000"</f>
        <v>5000</v>
      </c>
      <c r="AB20" t="str">
        <f>VLOOKUP(AA20,names!A:B,2,0)</f>
        <v>Consumer Services</v>
      </c>
      <c r="AD20">
        <v>1</v>
      </c>
      <c r="AE20">
        <v>1307033</v>
      </c>
      <c r="AG20">
        <v>23.565000000000001</v>
      </c>
      <c r="AH20">
        <v>1</v>
      </c>
      <c r="AI20">
        <v>30800233</v>
      </c>
      <c r="AJ20">
        <v>30800233</v>
      </c>
      <c r="AK20">
        <v>2.8109000000000002</v>
      </c>
      <c r="AL20" s="8">
        <f>AK20/100</f>
        <v>2.8109000000000002E-2</v>
      </c>
    </row>
    <row r="21" spans="1:38" x14ac:dyDescent="0.2">
      <c r="A21" s="1">
        <v>41971</v>
      </c>
      <c r="B21" t="s">
        <v>34</v>
      </c>
      <c r="C21" t="s">
        <v>35</v>
      </c>
      <c r="D21" t="s">
        <v>36</v>
      </c>
      <c r="E21" t="s">
        <v>37</v>
      </c>
      <c r="F21" t="s">
        <v>38</v>
      </c>
      <c r="K21">
        <v>1579.65</v>
      </c>
      <c r="L21">
        <v>30</v>
      </c>
      <c r="N21">
        <v>1095743460</v>
      </c>
      <c r="O21">
        <v>693662</v>
      </c>
      <c r="P21">
        <v>571342</v>
      </c>
      <c r="Q21" t="s">
        <v>118</v>
      </c>
      <c r="R21">
        <v>5713422</v>
      </c>
      <c r="S21" t="s">
        <v>119</v>
      </c>
      <c r="U21" t="s">
        <v>120</v>
      </c>
      <c r="V21" t="s">
        <v>64</v>
      </c>
      <c r="W21" t="str">
        <f>VLOOKUP(V21,names!I:J,2,0)</f>
        <v>Finland</v>
      </c>
      <c r="X21" t="s">
        <v>38</v>
      </c>
      <c r="Y21" t="s">
        <v>65</v>
      </c>
      <c r="Z21" s="3">
        <v>2757</v>
      </c>
      <c r="AA21" s="5" t="str">
        <f>LEFT(Z21,1)&amp;"000"</f>
        <v>2000</v>
      </c>
      <c r="AB21" t="str">
        <f>VLOOKUP(AA21,names!A:B,2,0)</f>
        <v>Industrials</v>
      </c>
      <c r="AD21">
        <v>1</v>
      </c>
      <c r="AE21">
        <v>1203911</v>
      </c>
      <c r="AG21">
        <v>24.93</v>
      </c>
      <c r="AH21">
        <v>1</v>
      </c>
      <c r="AI21">
        <v>30013501</v>
      </c>
      <c r="AJ21">
        <v>30013501</v>
      </c>
      <c r="AK21">
        <v>2.7391000000000001</v>
      </c>
      <c r="AL21" s="8">
        <f>AK21/100</f>
        <v>2.7391000000000002E-2</v>
      </c>
    </row>
    <row r="22" spans="1:38" x14ac:dyDescent="0.2">
      <c r="A22" s="1">
        <v>41971</v>
      </c>
      <c r="B22" t="s">
        <v>34</v>
      </c>
      <c r="C22" t="s">
        <v>35</v>
      </c>
      <c r="D22" t="s">
        <v>36</v>
      </c>
      <c r="E22" t="s">
        <v>37</v>
      </c>
      <c r="F22" t="s">
        <v>38</v>
      </c>
      <c r="K22">
        <v>1579.65</v>
      </c>
      <c r="L22">
        <v>30</v>
      </c>
      <c r="N22">
        <v>1095743460</v>
      </c>
      <c r="O22">
        <v>693662</v>
      </c>
      <c r="P22">
        <v>458887</v>
      </c>
      <c r="Q22" t="s">
        <v>121</v>
      </c>
      <c r="R22">
        <v>7088429</v>
      </c>
      <c r="S22" t="s">
        <v>122</v>
      </c>
      <c r="U22" t="s">
        <v>123</v>
      </c>
      <c r="V22" t="s">
        <v>54</v>
      </c>
      <c r="W22" t="str">
        <f>VLOOKUP(V22,names!I:J,2,0)</f>
        <v>France</v>
      </c>
      <c r="X22" t="s">
        <v>38</v>
      </c>
      <c r="Y22" t="s">
        <v>55</v>
      </c>
      <c r="Z22" s="3">
        <v>8532</v>
      </c>
      <c r="AA22" s="5" t="str">
        <f>LEFT(Z22,1)&amp;"000"</f>
        <v>8000</v>
      </c>
      <c r="AB22" t="str">
        <f>VLOOKUP(AA22,names!A:B,2,0)</f>
        <v>Financials</v>
      </c>
      <c r="AD22">
        <v>1</v>
      </c>
      <c r="AE22">
        <v>1525510</v>
      </c>
      <c r="AG22">
        <v>19.414999999999999</v>
      </c>
      <c r="AH22">
        <v>1</v>
      </c>
      <c r="AI22">
        <v>29617777</v>
      </c>
      <c r="AJ22">
        <v>29617777</v>
      </c>
      <c r="AK22">
        <v>2.7029800000000002</v>
      </c>
      <c r="AL22" s="8">
        <f>AK22/100</f>
        <v>2.7029800000000003E-2</v>
      </c>
    </row>
    <row r="23" spans="1:38" x14ac:dyDescent="0.2">
      <c r="A23" s="1">
        <v>41971</v>
      </c>
      <c r="B23" t="s">
        <v>34</v>
      </c>
      <c r="C23" t="s">
        <v>35</v>
      </c>
      <c r="D23" t="s">
        <v>36</v>
      </c>
      <c r="E23" t="s">
        <v>37</v>
      </c>
      <c r="F23" t="s">
        <v>38</v>
      </c>
      <c r="K23">
        <v>1579.65</v>
      </c>
      <c r="L23">
        <v>30</v>
      </c>
      <c r="N23">
        <v>1095743460</v>
      </c>
      <c r="O23">
        <v>693662</v>
      </c>
      <c r="P23">
        <v>401093</v>
      </c>
      <c r="Q23" t="s">
        <v>124</v>
      </c>
      <c r="R23" t="s">
        <v>125</v>
      </c>
      <c r="S23" t="s">
        <v>126</v>
      </c>
      <c r="U23" t="s">
        <v>127</v>
      </c>
      <c r="V23" t="s">
        <v>91</v>
      </c>
      <c r="W23" t="str">
        <f>VLOOKUP(V23,names!I:J,2,0)</f>
        <v>Netherlands</v>
      </c>
      <c r="X23" t="s">
        <v>38</v>
      </c>
      <c r="Y23" t="s">
        <v>83</v>
      </c>
      <c r="Z23" s="3">
        <v>5337</v>
      </c>
      <c r="AA23" s="5" t="str">
        <f>LEFT(Z23,1)&amp;"000"</f>
        <v>5000</v>
      </c>
      <c r="AB23" t="str">
        <f>VLOOKUP(AA23,names!A:B,2,0)</f>
        <v>Consumer Services</v>
      </c>
      <c r="AD23">
        <v>1</v>
      </c>
      <c r="AE23">
        <v>2080526</v>
      </c>
      <c r="AG23">
        <v>14.205</v>
      </c>
      <c r="AH23">
        <v>1</v>
      </c>
      <c r="AI23">
        <v>29553872</v>
      </c>
      <c r="AJ23">
        <v>29553872</v>
      </c>
      <c r="AK23">
        <v>2.6971500000000002</v>
      </c>
      <c r="AL23" s="8">
        <f>AK23/100</f>
        <v>2.6971500000000002E-2</v>
      </c>
    </row>
    <row r="24" spans="1:38" x14ac:dyDescent="0.2">
      <c r="A24" s="1">
        <v>41971</v>
      </c>
      <c r="B24" t="s">
        <v>34</v>
      </c>
      <c r="C24" t="s">
        <v>35</v>
      </c>
      <c r="D24" t="s">
        <v>36</v>
      </c>
      <c r="E24" t="s">
        <v>37</v>
      </c>
      <c r="F24" t="s">
        <v>38</v>
      </c>
      <c r="K24">
        <v>1579.65</v>
      </c>
      <c r="L24">
        <v>30</v>
      </c>
      <c r="N24">
        <v>1095743460</v>
      </c>
      <c r="O24">
        <v>693662</v>
      </c>
      <c r="P24">
        <v>449000</v>
      </c>
      <c r="Q24" t="s">
        <v>128</v>
      </c>
      <c r="R24">
        <v>4490005</v>
      </c>
      <c r="S24" t="s">
        <v>129</v>
      </c>
      <c r="U24" t="s">
        <v>130</v>
      </c>
      <c r="V24" t="s">
        <v>64</v>
      </c>
      <c r="W24" t="str">
        <f>VLOOKUP(V24,names!I:J,2,0)</f>
        <v>Finland</v>
      </c>
      <c r="X24" t="s">
        <v>38</v>
      </c>
      <c r="Y24" t="s">
        <v>65</v>
      </c>
      <c r="Z24" s="3">
        <v>5337</v>
      </c>
      <c r="AA24" s="5" t="str">
        <f>LEFT(Z24,1)&amp;"000"</f>
        <v>5000</v>
      </c>
      <c r="AB24" t="str">
        <f>VLOOKUP(AA24,names!A:B,2,0)</f>
        <v>Consumer Services</v>
      </c>
      <c r="AD24">
        <v>1</v>
      </c>
      <c r="AE24">
        <v>843069</v>
      </c>
      <c r="AG24">
        <v>31.31</v>
      </c>
      <c r="AH24">
        <v>1</v>
      </c>
      <c r="AI24">
        <v>26396490</v>
      </c>
      <c r="AJ24">
        <v>26396490</v>
      </c>
      <c r="AK24">
        <v>2.4089999999999998</v>
      </c>
      <c r="AL24" s="8">
        <f>AK24/100</f>
        <v>2.4089999999999997E-2</v>
      </c>
    </row>
    <row r="25" spans="1:38" x14ac:dyDescent="0.2">
      <c r="A25" s="1">
        <v>41971</v>
      </c>
      <c r="B25" t="s">
        <v>34</v>
      </c>
      <c r="C25" t="s">
        <v>35</v>
      </c>
      <c r="D25" t="s">
        <v>36</v>
      </c>
      <c r="E25" t="s">
        <v>37</v>
      </c>
      <c r="F25" t="s">
        <v>38</v>
      </c>
      <c r="K25">
        <v>1579.65</v>
      </c>
      <c r="L25">
        <v>30</v>
      </c>
      <c r="N25">
        <v>1095743460</v>
      </c>
      <c r="O25">
        <v>693662</v>
      </c>
      <c r="P25">
        <v>425240</v>
      </c>
      <c r="Q25" t="s">
        <v>131</v>
      </c>
      <c r="R25">
        <v>5529027</v>
      </c>
      <c r="S25" t="s">
        <v>132</v>
      </c>
      <c r="U25" t="s">
        <v>133</v>
      </c>
      <c r="V25" t="s">
        <v>59</v>
      </c>
      <c r="W25" t="str">
        <f>VLOOKUP(V25,names!I:J,2,0)</f>
        <v>Germany</v>
      </c>
      <c r="X25" t="s">
        <v>38</v>
      </c>
      <c r="Y25" t="s">
        <v>60</v>
      </c>
      <c r="Z25" s="3">
        <v>3353</v>
      </c>
      <c r="AA25" s="5" t="str">
        <f>LEFT(Z25,1)&amp;"000"</f>
        <v>3000</v>
      </c>
      <c r="AB25" t="str">
        <f>VLOOKUP(AA25,names!A:B,2,0)</f>
        <v>Consumer Goods</v>
      </c>
      <c r="AD25">
        <v>1</v>
      </c>
      <c r="AE25">
        <v>348583</v>
      </c>
      <c r="AG25">
        <v>67.8</v>
      </c>
      <c r="AH25">
        <v>1</v>
      </c>
      <c r="AI25">
        <v>23633927</v>
      </c>
      <c r="AJ25">
        <v>23633927</v>
      </c>
      <c r="AK25">
        <v>2.1568900000000002</v>
      </c>
      <c r="AL25" s="8">
        <f>AK25/100</f>
        <v>2.1568900000000002E-2</v>
      </c>
    </row>
    <row r="26" spans="1:38" x14ac:dyDescent="0.2">
      <c r="A26" s="1">
        <v>41971</v>
      </c>
      <c r="B26" t="s">
        <v>34</v>
      </c>
      <c r="C26" t="s">
        <v>35</v>
      </c>
      <c r="D26" t="s">
        <v>36</v>
      </c>
      <c r="E26" t="s">
        <v>37</v>
      </c>
      <c r="F26" t="s">
        <v>38</v>
      </c>
      <c r="K26">
        <v>1579.65</v>
      </c>
      <c r="L26">
        <v>30</v>
      </c>
      <c r="N26">
        <v>1095743460</v>
      </c>
      <c r="O26">
        <v>693662</v>
      </c>
      <c r="P26">
        <v>408348</v>
      </c>
      <c r="Q26" t="s">
        <v>134</v>
      </c>
      <c r="R26">
        <v>5086577</v>
      </c>
      <c r="S26" t="s">
        <v>135</v>
      </c>
      <c r="U26" t="s">
        <v>136</v>
      </c>
      <c r="V26" t="s">
        <v>59</v>
      </c>
      <c r="W26" t="str">
        <f>VLOOKUP(V26,names!I:J,2,0)</f>
        <v>Germany</v>
      </c>
      <c r="X26" t="s">
        <v>38</v>
      </c>
      <c r="Y26" t="s">
        <v>60</v>
      </c>
      <c r="Z26" s="3">
        <v>1353</v>
      </c>
      <c r="AA26" s="5" t="str">
        <f>LEFT(Z26,1)&amp;"000"</f>
        <v>1000</v>
      </c>
      <c r="AB26" t="str">
        <f>VLOOKUP(AA26,names!A:B,2,0)</f>
        <v>Basic Materials</v>
      </c>
      <c r="AD26">
        <v>1</v>
      </c>
      <c r="AE26">
        <v>288852</v>
      </c>
      <c r="AG26">
        <v>73.010000000000005</v>
      </c>
      <c r="AH26">
        <v>1</v>
      </c>
      <c r="AI26">
        <v>21089085</v>
      </c>
      <c r="AJ26">
        <v>21089085</v>
      </c>
      <c r="AK26">
        <v>1.9246399999999999</v>
      </c>
      <c r="AL26" s="8">
        <f>AK26/100</f>
        <v>1.92464E-2</v>
      </c>
    </row>
    <row r="27" spans="1:38" x14ac:dyDescent="0.2">
      <c r="A27" s="1">
        <v>41971</v>
      </c>
      <c r="B27" t="s">
        <v>34</v>
      </c>
      <c r="C27" t="s">
        <v>35</v>
      </c>
      <c r="D27" t="s">
        <v>36</v>
      </c>
      <c r="E27" t="s">
        <v>37</v>
      </c>
      <c r="F27" t="s">
        <v>38</v>
      </c>
      <c r="K27">
        <v>1579.65</v>
      </c>
      <c r="L27">
        <v>30</v>
      </c>
      <c r="N27">
        <v>1095743460</v>
      </c>
      <c r="O27">
        <v>693662</v>
      </c>
      <c r="P27">
        <v>470384</v>
      </c>
      <c r="Q27" t="s">
        <v>137</v>
      </c>
      <c r="R27">
        <v>5505072</v>
      </c>
      <c r="S27" t="s">
        <v>138</v>
      </c>
      <c r="U27" t="s">
        <v>139</v>
      </c>
      <c r="V27" t="s">
        <v>54</v>
      </c>
      <c r="W27" t="str">
        <f>VLOOKUP(V27,names!I:J,2,0)</f>
        <v>France</v>
      </c>
      <c r="X27" t="s">
        <v>38</v>
      </c>
      <c r="Y27" t="s">
        <v>55</v>
      </c>
      <c r="Z27" s="3">
        <v>5373</v>
      </c>
      <c r="AA27" s="5" t="str">
        <f>LEFT(Z27,1)&amp;"000"</f>
        <v>5000</v>
      </c>
      <c r="AB27" t="str">
        <f>VLOOKUP(AA27,names!A:B,2,0)</f>
        <v>Consumer Services</v>
      </c>
      <c r="AD27">
        <v>1</v>
      </c>
      <c r="AE27">
        <v>116734</v>
      </c>
      <c r="AG27">
        <v>166.1</v>
      </c>
      <c r="AH27">
        <v>1</v>
      </c>
      <c r="AI27">
        <v>19389517</v>
      </c>
      <c r="AJ27">
        <v>19389517</v>
      </c>
      <c r="AK27">
        <v>1.76953</v>
      </c>
      <c r="AL27" s="8">
        <f>AK27/100</f>
        <v>1.7695300000000001E-2</v>
      </c>
    </row>
    <row r="28" spans="1:38" x14ac:dyDescent="0.2">
      <c r="A28" s="1">
        <v>41971</v>
      </c>
      <c r="B28" t="s">
        <v>34</v>
      </c>
      <c r="C28" t="s">
        <v>35</v>
      </c>
      <c r="D28" t="s">
        <v>36</v>
      </c>
      <c r="E28" t="s">
        <v>37</v>
      </c>
      <c r="F28" t="s">
        <v>38</v>
      </c>
      <c r="K28">
        <v>1579.65</v>
      </c>
      <c r="L28">
        <v>30</v>
      </c>
      <c r="N28">
        <v>1095743460</v>
      </c>
      <c r="O28">
        <v>693662</v>
      </c>
      <c r="P28">
        <v>578446</v>
      </c>
      <c r="Q28" t="s">
        <v>140</v>
      </c>
      <c r="R28">
        <v>5784462</v>
      </c>
      <c r="S28" t="s">
        <v>141</v>
      </c>
      <c r="U28" t="s">
        <v>142</v>
      </c>
      <c r="V28" t="s">
        <v>59</v>
      </c>
      <c r="W28" t="str">
        <f>VLOOKUP(V28,names!I:J,2,0)</f>
        <v>Germany</v>
      </c>
      <c r="X28" t="s">
        <v>38</v>
      </c>
      <c r="Y28" t="s">
        <v>60</v>
      </c>
      <c r="Z28" s="3">
        <v>3577</v>
      </c>
      <c r="AA28" s="5" t="str">
        <f>LEFT(Z28,1)&amp;"000"</f>
        <v>3000</v>
      </c>
      <c r="AB28" t="str">
        <f>VLOOKUP(AA28,names!A:B,2,0)</f>
        <v>Consumer Goods</v>
      </c>
      <c r="AD28">
        <v>1</v>
      </c>
      <c r="AE28">
        <v>1414009</v>
      </c>
      <c r="AG28">
        <v>12.52</v>
      </c>
      <c r="AH28">
        <v>1</v>
      </c>
      <c r="AI28">
        <v>17703393</v>
      </c>
      <c r="AJ28">
        <v>17703393</v>
      </c>
      <c r="AK28">
        <v>1.61565</v>
      </c>
      <c r="AL28" s="8">
        <f>AK28/100</f>
        <v>1.6156500000000001E-2</v>
      </c>
    </row>
    <row r="29" spans="1:38" x14ac:dyDescent="0.2">
      <c r="A29" s="1">
        <v>41971</v>
      </c>
      <c r="B29" t="s">
        <v>34</v>
      </c>
      <c r="C29" t="s">
        <v>35</v>
      </c>
      <c r="D29" t="s">
        <v>36</v>
      </c>
      <c r="E29" t="s">
        <v>37</v>
      </c>
      <c r="F29" t="s">
        <v>38</v>
      </c>
      <c r="K29">
        <v>1579.65</v>
      </c>
      <c r="L29">
        <v>30</v>
      </c>
      <c r="N29">
        <v>1095743460</v>
      </c>
      <c r="O29">
        <v>693662</v>
      </c>
      <c r="P29">
        <v>481808</v>
      </c>
      <c r="Q29" t="s">
        <v>143</v>
      </c>
      <c r="R29" t="s">
        <v>144</v>
      </c>
      <c r="S29" t="s">
        <v>145</v>
      </c>
      <c r="U29" t="s">
        <v>146</v>
      </c>
      <c r="V29" t="s">
        <v>54</v>
      </c>
      <c r="W29" t="str">
        <f>VLOOKUP(V29,names!I:J,2,0)</f>
        <v>France</v>
      </c>
      <c r="X29" t="s">
        <v>38</v>
      </c>
      <c r="Y29" t="s">
        <v>55</v>
      </c>
      <c r="Z29" s="3">
        <v>2357</v>
      </c>
      <c r="AA29" s="5" t="str">
        <f>LEFT(Z29,1)&amp;"000"</f>
        <v>2000</v>
      </c>
      <c r="AB29" t="str">
        <f>VLOOKUP(AA29,names!A:B,2,0)</f>
        <v>Industrials</v>
      </c>
      <c r="AD29">
        <v>1</v>
      </c>
      <c r="AE29">
        <v>396750</v>
      </c>
      <c r="AG29">
        <v>43.475000000000001</v>
      </c>
      <c r="AH29">
        <v>1</v>
      </c>
      <c r="AI29">
        <v>17248706</v>
      </c>
      <c r="AJ29">
        <v>17248706</v>
      </c>
      <c r="AK29">
        <v>1.57416</v>
      </c>
      <c r="AL29" s="8">
        <f>AK29/100</f>
        <v>1.5741600000000001E-2</v>
      </c>
    </row>
    <row r="30" spans="1:38" x14ac:dyDescent="0.2">
      <c r="A30" s="1">
        <v>41971</v>
      </c>
      <c r="B30" t="s">
        <v>34</v>
      </c>
      <c r="C30" t="s">
        <v>35</v>
      </c>
      <c r="D30" t="s">
        <v>36</v>
      </c>
      <c r="E30" t="s">
        <v>37</v>
      </c>
      <c r="F30" t="s">
        <v>38</v>
      </c>
      <c r="K30">
        <v>1579.65</v>
      </c>
      <c r="L30">
        <v>30</v>
      </c>
      <c r="N30">
        <v>1095743460</v>
      </c>
      <c r="O30">
        <v>693662</v>
      </c>
      <c r="P30">
        <v>452518</v>
      </c>
      <c r="Q30" t="s">
        <v>147</v>
      </c>
      <c r="R30">
        <v>4525189</v>
      </c>
      <c r="S30" t="s">
        <v>148</v>
      </c>
      <c r="U30" t="s">
        <v>149</v>
      </c>
      <c r="V30" t="s">
        <v>64</v>
      </c>
      <c r="W30" t="str">
        <f>VLOOKUP(V30,names!I:J,2,0)</f>
        <v>Finland</v>
      </c>
      <c r="X30" t="s">
        <v>38</v>
      </c>
      <c r="Y30" t="s">
        <v>65</v>
      </c>
      <c r="Z30" s="3">
        <v>2757</v>
      </c>
      <c r="AA30" s="5" t="str">
        <f>LEFT(Z30,1)&amp;"000"</f>
        <v>2000</v>
      </c>
      <c r="AB30" t="str">
        <f>VLOOKUP(AA30,names!A:B,2,0)</f>
        <v>Industrials</v>
      </c>
      <c r="AD30">
        <v>1</v>
      </c>
      <c r="AE30">
        <v>414501</v>
      </c>
      <c r="AG30">
        <v>36.020000000000003</v>
      </c>
      <c r="AH30">
        <v>1</v>
      </c>
      <c r="AI30">
        <v>14930326</v>
      </c>
      <c r="AJ30">
        <v>14930326</v>
      </c>
      <c r="AK30">
        <v>1.3625700000000001</v>
      </c>
      <c r="AL30" s="8">
        <f>AK30/100</f>
        <v>1.3625700000000001E-2</v>
      </c>
    </row>
    <row r="31" spans="1:38" x14ac:dyDescent="0.2">
      <c r="A31" s="1">
        <v>41971</v>
      </c>
      <c r="B31" t="s">
        <v>34</v>
      </c>
      <c r="C31" t="s">
        <v>35</v>
      </c>
      <c r="D31" t="s">
        <v>36</v>
      </c>
      <c r="E31" t="s">
        <v>37</v>
      </c>
      <c r="F31" t="s">
        <v>38</v>
      </c>
      <c r="K31">
        <v>1579.65</v>
      </c>
      <c r="L31">
        <v>30</v>
      </c>
      <c r="N31">
        <v>1095743460</v>
      </c>
      <c r="O31">
        <v>693662</v>
      </c>
      <c r="P31">
        <v>409830</v>
      </c>
      <c r="Q31" t="s">
        <v>150</v>
      </c>
      <c r="R31">
        <v>5117381</v>
      </c>
      <c r="S31" t="s">
        <v>151</v>
      </c>
      <c r="U31" t="s">
        <v>152</v>
      </c>
      <c r="V31" t="s">
        <v>59</v>
      </c>
      <c r="W31" t="str">
        <f>VLOOKUP(V31,names!I:J,2,0)</f>
        <v>Germany</v>
      </c>
      <c r="X31" t="s">
        <v>38</v>
      </c>
      <c r="Y31" t="s">
        <v>60</v>
      </c>
      <c r="Z31" s="3">
        <v>2791</v>
      </c>
      <c r="AA31" s="5" t="str">
        <f>LEFT(Z31,1)&amp;"000"</f>
        <v>2000</v>
      </c>
      <c r="AB31" t="str">
        <f>VLOOKUP(AA31,names!A:B,2,0)</f>
        <v>Industrials</v>
      </c>
      <c r="AD31">
        <v>1</v>
      </c>
      <c r="AE31">
        <v>255581</v>
      </c>
      <c r="AG31">
        <v>47.63</v>
      </c>
      <c r="AH31">
        <v>1</v>
      </c>
      <c r="AI31">
        <v>12173323</v>
      </c>
      <c r="AJ31">
        <v>12173323</v>
      </c>
      <c r="AK31">
        <v>1.1109599999999999</v>
      </c>
      <c r="AL31" s="8">
        <f>AK31/100</f>
        <v>1.1109599999999999E-2</v>
      </c>
    </row>
    <row r="32" spans="1:38" x14ac:dyDescent="0.2">
      <c r="AL32" s="9"/>
    </row>
  </sheetData>
  <autoFilter ref="A1:AL31">
    <sortState ref="A2:AL31">
      <sortCondition descending="1" ref="AL1:AL31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67"/>
  <sheetViews>
    <sheetView workbookViewId="0">
      <selection activeCell="M23" sqref="M23"/>
    </sheetView>
  </sheetViews>
  <sheetFormatPr defaultRowHeight="12.75" x14ac:dyDescent="0.2"/>
  <sheetData>
    <row r="1" spans="1:10" x14ac:dyDescent="0.2">
      <c r="A1" t="s">
        <v>153</v>
      </c>
      <c r="B1" t="s">
        <v>154</v>
      </c>
      <c r="E1" t="s">
        <v>155</v>
      </c>
      <c r="F1" t="s">
        <v>156</v>
      </c>
      <c r="I1" t="s">
        <v>157</v>
      </c>
      <c r="J1" t="s">
        <v>158</v>
      </c>
    </row>
    <row r="2" spans="1:10" x14ac:dyDescent="0.2">
      <c r="A2" s="2" t="s">
        <v>159</v>
      </c>
      <c r="B2" t="s">
        <v>156</v>
      </c>
      <c r="E2" t="s">
        <v>160</v>
      </c>
      <c r="F2" t="s">
        <v>161</v>
      </c>
      <c r="I2" t="s">
        <v>162</v>
      </c>
      <c r="J2" t="s">
        <v>163</v>
      </c>
    </row>
    <row r="3" spans="1:10" x14ac:dyDescent="0.2">
      <c r="A3" s="2" t="s">
        <v>164</v>
      </c>
      <c r="B3" t="s">
        <v>165</v>
      </c>
      <c r="E3" t="s">
        <v>166</v>
      </c>
      <c r="F3" t="s">
        <v>167</v>
      </c>
      <c r="I3" t="s">
        <v>168</v>
      </c>
      <c r="J3" t="s">
        <v>169</v>
      </c>
    </row>
    <row r="4" spans="1:10" x14ac:dyDescent="0.2">
      <c r="A4" s="3" t="s">
        <v>170</v>
      </c>
      <c r="B4" t="s">
        <v>171</v>
      </c>
      <c r="E4" t="s">
        <v>172</v>
      </c>
      <c r="F4" t="s">
        <v>173</v>
      </c>
      <c r="I4" t="s">
        <v>44</v>
      </c>
      <c r="J4" t="s">
        <v>174</v>
      </c>
    </row>
    <row r="5" spans="1:10" x14ac:dyDescent="0.2">
      <c r="A5" s="3" t="s">
        <v>175</v>
      </c>
      <c r="B5" t="s">
        <v>176</v>
      </c>
      <c r="E5" t="s">
        <v>177</v>
      </c>
      <c r="F5" t="s">
        <v>178</v>
      </c>
      <c r="I5" t="s">
        <v>59</v>
      </c>
      <c r="J5" t="s">
        <v>179</v>
      </c>
    </row>
    <row r="6" spans="1:10" x14ac:dyDescent="0.2">
      <c r="A6" s="3" t="s">
        <v>180</v>
      </c>
      <c r="B6" t="s">
        <v>181</v>
      </c>
      <c r="E6" t="s">
        <v>182</v>
      </c>
      <c r="F6" t="s">
        <v>183</v>
      </c>
      <c r="I6" t="s">
        <v>184</v>
      </c>
      <c r="J6" t="s">
        <v>185</v>
      </c>
    </row>
    <row r="7" spans="1:10" x14ac:dyDescent="0.2">
      <c r="A7" s="3" t="s">
        <v>186</v>
      </c>
      <c r="B7" t="s">
        <v>187</v>
      </c>
      <c r="E7" t="s">
        <v>188</v>
      </c>
      <c r="F7" t="s">
        <v>189</v>
      </c>
      <c r="I7" t="s">
        <v>49</v>
      </c>
      <c r="J7" t="s">
        <v>190</v>
      </c>
    </row>
    <row r="8" spans="1:10" x14ac:dyDescent="0.2">
      <c r="A8" s="3" t="s">
        <v>191</v>
      </c>
      <c r="B8" t="s">
        <v>192</v>
      </c>
      <c r="E8" t="s">
        <v>193</v>
      </c>
      <c r="F8" t="s">
        <v>194</v>
      </c>
      <c r="I8" t="s">
        <v>54</v>
      </c>
      <c r="J8" t="s">
        <v>195</v>
      </c>
    </row>
    <row r="9" spans="1:10" x14ac:dyDescent="0.2">
      <c r="A9" s="3" t="s">
        <v>196</v>
      </c>
      <c r="B9" t="s">
        <v>197</v>
      </c>
      <c r="E9" t="s">
        <v>198</v>
      </c>
      <c r="F9" t="s">
        <v>181</v>
      </c>
      <c r="I9" t="s">
        <v>64</v>
      </c>
      <c r="J9" t="s">
        <v>199</v>
      </c>
    </row>
    <row r="10" spans="1:10" x14ac:dyDescent="0.2">
      <c r="A10" s="3" t="s">
        <v>200</v>
      </c>
      <c r="B10" t="s">
        <v>201</v>
      </c>
      <c r="E10" t="s">
        <v>202</v>
      </c>
      <c r="F10" t="s">
        <v>203</v>
      </c>
      <c r="I10" t="s">
        <v>204</v>
      </c>
      <c r="J10" t="s">
        <v>205</v>
      </c>
    </row>
    <row r="11" spans="1:10" x14ac:dyDescent="0.2">
      <c r="A11" s="3" t="s">
        <v>206</v>
      </c>
      <c r="B11" t="s">
        <v>207</v>
      </c>
      <c r="E11" t="s">
        <v>208</v>
      </c>
      <c r="F11" t="s">
        <v>209</v>
      </c>
      <c r="I11" t="s">
        <v>210</v>
      </c>
      <c r="J11" t="s">
        <v>211</v>
      </c>
    </row>
    <row r="12" spans="1:10" x14ac:dyDescent="0.2">
      <c r="E12" t="s">
        <v>212</v>
      </c>
      <c r="F12" t="s">
        <v>213</v>
      </c>
      <c r="I12" t="s">
        <v>69</v>
      </c>
      <c r="J12" t="s">
        <v>214</v>
      </c>
    </row>
    <row r="13" spans="1:10" x14ac:dyDescent="0.2">
      <c r="E13" t="s">
        <v>215</v>
      </c>
      <c r="F13" t="s">
        <v>192</v>
      </c>
      <c r="I13" t="s">
        <v>216</v>
      </c>
      <c r="J13" t="s">
        <v>217</v>
      </c>
    </row>
    <row r="14" spans="1:10" x14ac:dyDescent="0.2">
      <c r="E14" t="s">
        <v>218</v>
      </c>
      <c r="F14" t="s">
        <v>197</v>
      </c>
      <c r="I14" t="s">
        <v>219</v>
      </c>
      <c r="J14" t="s">
        <v>220</v>
      </c>
    </row>
    <row r="15" spans="1:10" x14ac:dyDescent="0.2">
      <c r="E15" t="s">
        <v>221</v>
      </c>
      <c r="F15" t="s">
        <v>222</v>
      </c>
      <c r="I15" t="s">
        <v>223</v>
      </c>
      <c r="J15" t="s">
        <v>224</v>
      </c>
    </row>
    <row r="16" spans="1:10" x14ac:dyDescent="0.2">
      <c r="E16" t="s">
        <v>225</v>
      </c>
      <c r="F16" t="s">
        <v>226</v>
      </c>
      <c r="I16" t="s">
        <v>91</v>
      </c>
      <c r="J16" t="s">
        <v>227</v>
      </c>
    </row>
    <row r="17" spans="5:10" x14ac:dyDescent="0.2">
      <c r="E17" t="s">
        <v>228</v>
      </c>
      <c r="F17" t="s">
        <v>229</v>
      </c>
      <c r="I17" t="s">
        <v>77</v>
      </c>
      <c r="J17" t="s">
        <v>230</v>
      </c>
    </row>
    <row r="18" spans="5:10" x14ac:dyDescent="0.2">
      <c r="E18" t="s">
        <v>231</v>
      </c>
      <c r="F18" t="s">
        <v>232</v>
      </c>
      <c r="I18" t="s">
        <v>233</v>
      </c>
      <c r="J18" t="s">
        <v>234</v>
      </c>
    </row>
    <row r="19" spans="5:10" x14ac:dyDescent="0.2">
      <c r="E19" t="s">
        <v>235</v>
      </c>
      <c r="F19" t="s">
        <v>207</v>
      </c>
      <c r="I19" t="s">
        <v>236</v>
      </c>
      <c r="J19" t="s">
        <v>237</v>
      </c>
    </row>
    <row r="20" spans="5:10" x14ac:dyDescent="0.2">
      <c r="I20" t="s">
        <v>238</v>
      </c>
      <c r="J20" t="s">
        <v>239</v>
      </c>
    </row>
    <row r="21" spans="5:10" x14ac:dyDescent="0.2">
      <c r="I21" t="s">
        <v>240</v>
      </c>
      <c r="J21" t="s">
        <v>241</v>
      </c>
    </row>
    <row r="22" spans="5:10" x14ac:dyDescent="0.2">
      <c r="I22" t="s">
        <v>242</v>
      </c>
      <c r="J22" t="s">
        <v>243</v>
      </c>
    </row>
    <row r="23" spans="5:10" x14ac:dyDescent="0.2">
      <c r="I23" t="s">
        <v>244</v>
      </c>
      <c r="J23" t="s">
        <v>245</v>
      </c>
    </row>
    <row r="24" spans="5:10" x14ac:dyDescent="0.2">
      <c r="I24" t="s">
        <v>246</v>
      </c>
      <c r="J24" t="s">
        <v>247</v>
      </c>
    </row>
    <row r="25" spans="5:10" x14ac:dyDescent="0.2">
      <c r="I25" t="s">
        <v>248</v>
      </c>
      <c r="J25" t="s">
        <v>249</v>
      </c>
    </row>
    <row r="26" spans="5:10" x14ac:dyDescent="0.2">
      <c r="I26" t="s">
        <v>250</v>
      </c>
      <c r="J26" t="s">
        <v>251</v>
      </c>
    </row>
    <row r="27" spans="5:10" x14ac:dyDescent="0.2">
      <c r="I27" t="s">
        <v>252</v>
      </c>
      <c r="J27" t="s">
        <v>253</v>
      </c>
    </row>
    <row r="28" spans="5:10" x14ac:dyDescent="0.2">
      <c r="I28" t="s">
        <v>254</v>
      </c>
      <c r="J28" t="s">
        <v>255</v>
      </c>
    </row>
    <row r="29" spans="5:10" x14ac:dyDescent="0.2">
      <c r="I29" t="s">
        <v>256</v>
      </c>
      <c r="J29" t="s">
        <v>257</v>
      </c>
    </row>
    <row r="30" spans="5:10" x14ac:dyDescent="0.2">
      <c r="I30" t="s">
        <v>258</v>
      </c>
      <c r="J30" t="s">
        <v>259</v>
      </c>
    </row>
    <row r="31" spans="5:10" x14ac:dyDescent="0.2">
      <c r="I31" t="s">
        <v>260</v>
      </c>
      <c r="J31" t="s">
        <v>261</v>
      </c>
    </row>
    <row r="32" spans="5:10" x14ac:dyDescent="0.2">
      <c r="I32" t="s">
        <v>262</v>
      </c>
      <c r="J32" t="s">
        <v>263</v>
      </c>
    </row>
    <row r="33" spans="9:10" x14ac:dyDescent="0.2">
      <c r="I33" t="s">
        <v>264</v>
      </c>
      <c r="J33" t="s">
        <v>265</v>
      </c>
    </row>
    <row r="34" spans="9:10" x14ac:dyDescent="0.2">
      <c r="I34" t="s">
        <v>266</v>
      </c>
      <c r="J34" t="s">
        <v>267</v>
      </c>
    </row>
    <row r="35" spans="9:10" x14ac:dyDescent="0.2">
      <c r="I35" t="s">
        <v>268</v>
      </c>
      <c r="J35" t="s">
        <v>269</v>
      </c>
    </row>
    <row r="36" spans="9:10" x14ac:dyDescent="0.2">
      <c r="I36" t="s">
        <v>270</v>
      </c>
      <c r="J36" t="s">
        <v>271</v>
      </c>
    </row>
    <row r="37" spans="9:10" x14ac:dyDescent="0.2">
      <c r="I37" t="s">
        <v>272</v>
      </c>
      <c r="J37" t="s">
        <v>273</v>
      </c>
    </row>
    <row r="38" spans="9:10" x14ac:dyDescent="0.2">
      <c r="I38" t="s">
        <v>274</v>
      </c>
      <c r="J38" t="s">
        <v>275</v>
      </c>
    </row>
    <row r="39" spans="9:10" x14ac:dyDescent="0.2">
      <c r="I39" t="s">
        <v>276</v>
      </c>
      <c r="J39" t="s">
        <v>277</v>
      </c>
    </row>
    <row r="40" spans="9:10" x14ac:dyDescent="0.2">
      <c r="I40" t="s">
        <v>278</v>
      </c>
      <c r="J40" t="s">
        <v>279</v>
      </c>
    </row>
    <row r="41" spans="9:10" x14ac:dyDescent="0.2">
      <c r="I41" t="s">
        <v>280</v>
      </c>
      <c r="J41" t="s">
        <v>281</v>
      </c>
    </row>
    <row r="42" spans="9:10" x14ac:dyDescent="0.2">
      <c r="I42" t="s">
        <v>282</v>
      </c>
      <c r="J42" t="s">
        <v>283</v>
      </c>
    </row>
    <row r="43" spans="9:10" x14ac:dyDescent="0.2">
      <c r="I43" t="s">
        <v>284</v>
      </c>
      <c r="J43" t="s">
        <v>285</v>
      </c>
    </row>
    <row r="44" spans="9:10" x14ac:dyDescent="0.2">
      <c r="I44" t="s">
        <v>286</v>
      </c>
      <c r="J44" t="s">
        <v>287</v>
      </c>
    </row>
    <row r="45" spans="9:10" x14ac:dyDescent="0.2">
      <c r="I45" t="s">
        <v>288</v>
      </c>
      <c r="J45" t="s">
        <v>289</v>
      </c>
    </row>
    <row r="46" spans="9:10" x14ac:dyDescent="0.2">
      <c r="I46" t="s">
        <v>290</v>
      </c>
      <c r="J46" t="s">
        <v>291</v>
      </c>
    </row>
    <row r="47" spans="9:10" x14ac:dyDescent="0.2">
      <c r="I47" t="s">
        <v>292</v>
      </c>
      <c r="J47" t="s">
        <v>293</v>
      </c>
    </row>
    <row r="48" spans="9:10" x14ac:dyDescent="0.2">
      <c r="I48" t="s">
        <v>294</v>
      </c>
      <c r="J48" t="s">
        <v>295</v>
      </c>
    </row>
    <row r="49" spans="9:10" x14ac:dyDescent="0.2">
      <c r="I49" t="s">
        <v>296</v>
      </c>
      <c r="J49" t="s">
        <v>297</v>
      </c>
    </row>
    <row r="50" spans="9:10" x14ac:dyDescent="0.2">
      <c r="I50" t="s">
        <v>298</v>
      </c>
      <c r="J50" t="s">
        <v>299</v>
      </c>
    </row>
    <row r="51" spans="9:10" x14ac:dyDescent="0.2">
      <c r="I51" t="s">
        <v>300</v>
      </c>
      <c r="J51" t="s">
        <v>301</v>
      </c>
    </row>
    <row r="52" spans="9:10" x14ac:dyDescent="0.2">
      <c r="I52" t="s">
        <v>302</v>
      </c>
      <c r="J52" t="s">
        <v>303</v>
      </c>
    </row>
    <row r="53" spans="9:10" x14ac:dyDescent="0.2">
      <c r="I53" t="s">
        <v>304</v>
      </c>
      <c r="J53" t="s">
        <v>305</v>
      </c>
    </row>
    <row r="54" spans="9:10" x14ac:dyDescent="0.2">
      <c r="I54" t="s">
        <v>306</v>
      </c>
      <c r="J54" t="s">
        <v>307</v>
      </c>
    </row>
    <row r="55" spans="9:10" x14ac:dyDescent="0.2">
      <c r="I55" t="s">
        <v>308</v>
      </c>
      <c r="J55" t="s">
        <v>309</v>
      </c>
    </row>
    <row r="56" spans="9:10" x14ac:dyDescent="0.2">
      <c r="I56" t="s">
        <v>310</v>
      </c>
      <c r="J56" t="s">
        <v>311</v>
      </c>
    </row>
    <row r="57" spans="9:10" x14ac:dyDescent="0.2">
      <c r="I57" t="s">
        <v>312</v>
      </c>
      <c r="J57" t="s">
        <v>313</v>
      </c>
    </row>
    <row r="58" spans="9:10" x14ac:dyDescent="0.2">
      <c r="I58" t="s">
        <v>314</v>
      </c>
      <c r="J58" t="s">
        <v>315</v>
      </c>
    </row>
    <row r="59" spans="9:10" x14ac:dyDescent="0.2">
      <c r="I59" t="s">
        <v>316</v>
      </c>
      <c r="J59" t="s">
        <v>317</v>
      </c>
    </row>
    <row r="60" spans="9:10" x14ac:dyDescent="0.2">
      <c r="I60" t="s">
        <v>318</v>
      </c>
      <c r="J60" t="s">
        <v>319</v>
      </c>
    </row>
    <row r="61" spans="9:10" x14ac:dyDescent="0.2">
      <c r="I61" t="s">
        <v>320</v>
      </c>
      <c r="J61" t="s">
        <v>321</v>
      </c>
    </row>
    <row r="62" spans="9:10" x14ac:dyDescent="0.2">
      <c r="I62" t="s">
        <v>322</v>
      </c>
      <c r="J62" t="s">
        <v>323</v>
      </c>
    </row>
    <row r="63" spans="9:10" x14ac:dyDescent="0.2">
      <c r="I63" t="s">
        <v>324</v>
      </c>
      <c r="J63" t="s">
        <v>325</v>
      </c>
    </row>
    <row r="64" spans="9:10" x14ac:dyDescent="0.2">
      <c r="I64" t="s">
        <v>326</v>
      </c>
      <c r="J64" t="s">
        <v>327</v>
      </c>
    </row>
    <row r="65" spans="9:10" x14ac:dyDescent="0.2">
      <c r="I65" t="s">
        <v>328</v>
      </c>
      <c r="J65" t="s">
        <v>329</v>
      </c>
    </row>
    <row r="66" spans="9:10" x14ac:dyDescent="0.2">
      <c r="I66" t="s">
        <v>330</v>
      </c>
      <c r="J66" t="s">
        <v>331</v>
      </c>
    </row>
    <row r="67" spans="9:10" x14ac:dyDescent="0.2">
      <c r="I67" t="s">
        <v>332</v>
      </c>
      <c r="J67" t="s">
        <v>333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2"/>
  <sheetViews>
    <sheetView workbookViewId="0">
      <selection activeCell="J20" sqref="J20:K27"/>
    </sheetView>
  </sheetViews>
  <sheetFormatPr defaultRowHeight="12.75" x14ac:dyDescent="0.2"/>
  <cols>
    <col min="1" max="1" width="24.28515625" bestFit="1" customWidth="1"/>
    <col min="7" max="7" width="18.28515625" customWidth="1"/>
    <col min="8" max="8" width="14.5703125" bestFit="1" customWidth="1"/>
    <col min="10" max="10" width="13.85546875" bestFit="1" customWidth="1"/>
    <col min="11" max="11" width="14.5703125" bestFit="1" customWidth="1"/>
  </cols>
  <sheetData>
    <row r="1" spans="1:11" x14ac:dyDescent="0.2">
      <c r="A1" t="s">
        <v>335</v>
      </c>
      <c r="B1" t="s">
        <v>33</v>
      </c>
      <c r="D1" t="s">
        <v>21</v>
      </c>
      <c r="E1" t="s">
        <v>33</v>
      </c>
    </row>
    <row r="2" spans="1:11" x14ac:dyDescent="0.2">
      <c r="A2" t="s">
        <v>192</v>
      </c>
      <c r="B2">
        <v>9.14</v>
      </c>
      <c r="D2" t="s">
        <v>174</v>
      </c>
      <c r="E2">
        <v>9.14</v>
      </c>
      <c r="G2" s="6" t="s">
        <v>336</v>
      </c>
      <c r="H2" t="s">
        <v>338</v>
      </c>
      <c r="J2" s="6" t="s">
        <v>336</v>
      </c>
      <c r="K2" t="s">
        <v>338</v>
      </c>
    </row>
    <row r="3" spans="1:11" x14ac:dyDescent="0.2">
      <c r="A3" t="s">
        <v>201</v>
      </c>
      <c r="B3">
        <v>6.8738299999999999</v>
      </c>
      <c r="D3" t="s">
        <v>190</v>
      </c>
      <c r="E3">
        <v>6.8738299999999999</v>
      </c>
      <c r="G3" s="7" t="s">
        <v>165</v>
      </c>
      <c r="H3" s="5">
        <v>1.9246399999999999</v>
      </c>
      <c r="J3" s="7" t="s">
        <v>174</v>
      </c>
      <c r="K3" s="5">
        <v>9.14</v>
      </c>
    </row>
    <row r="4" spans="1:11" x14ac:dyDescent="0.2">
      <c r="A4" t="s">
        <v>192</v>
      </c>
      <c r="B4">
        <v>6.2355700000000001</v>
      </c>
      <c r="D4" t="s">
        <v>195</v>
      </c>
      <c r="E4">
        <v>6.2355700000000001</v>
      </c>
      <c r="G4" s="7" t="s">
        <v>176</v>
      </c>
      <c r="H4" s="5">
        <v>6.9424400000000013</v>
      </c>
      <c r="J4" s="7" t="s">
        <v>199</v>
      </c>
      <c r="K4" s="5">
        <v>11.10891</v>
      </c>
    </row>
    <row r="5" spans="1:11" x14ac:dyDescent="0.2">
      <c r="A5" t="s">
        <v>197</v>
      </c>
      <c r="B5">
        <v>5.1985999999999999</v>
      </c>
      <c r="D5" t="s">
        <v>179</v>
      </c>
      <c r="E5">
        <v>5.1985999999999999</v>
      </c>
      <c r="G5" s="7" t="s">
        <v>187</v>
      </c>
      <c r="H5" s="5">
        <v>12.60942</v>
      </c>
      <c r="J5" s="7" t="s">
        <v>195</v>
      </c>
      <c r="K5" s="5">
        <v>24.683639999999997</v>
      </c>
    </row>
    <row r="6" spans="1:11" x14ac:dyDescent="0.2">
      <c r="A6" t="s">
        <v>197</v>
      </c>
      <c r="B6">
        <v>4.5982399999999997</v>
      </c>
      <c r="D6" t="s">
        <v>199</v>
      </c>
      <c r="E6">
        <v>4.5982399999999997</v>
      </c>
      <c r="G6" s="7" t="s">
        <v>201</v>
      </c>
      <c r="H6" s="5">
        <v>25.276169999999997</v>
      </c>
      <c r="J6" s="7" t="s">
        <v>179</v>
      </c>
      <c r="K6" s="5">
        <v>24.441219999999998</v>
      </c>
    </row>
    <row r="7" spans="1:11" x14ac:dyDescent="0.2">
      <c r="A7" t="s">
        <v>197</v>
      </c>
      <c r="B7">
        <v>4.2491599999999998</v>
      </c>
      <c r="D7" t="s">
        <v>214</v>
      </c>
      <c r="E7">
        <v>4.2491599999999998</v>
      </c>
      <c r="G7" s="7" t="s">
        <v>171</v>
      </c>
      <c r="H7" s="5">
        <v>13.158480000000001</v>
      </c>
      <c r="J7" s="7" t="s">
        <v>214</v>
      </c>
      <c r="K7" s="5">
        <v>11.279969999999999</v>
      </c>
    </row>
    <row r="8" spans="1:11" x14ac:dyDescent="0.2">
      <c r="A8" t="s">
        <v>156</v>
      </c>
      <c r="B8">
        <v>3.94719</v>
      </c>
      <c r="D8" t="s">
        <v>214</v>
      </c>
      <c r="E8">
        <v>3.94719</v>
      </c>
      <c r="G8" s="7" t="s">
        <v>156</v>
      </c>
      <c r="H8" s="5">
        <v>6.8727999999999998</v>
      </c>
      <c r="J8" s="7" t="s">
        <v>227</v>
      </c>
      <c r="K8" s="5">
        <v>8.6779500000000009</v>
      </c>
    </row>
    <row r="9" spans="1:11" x14ac:dyDescent="0.2">
      <c r="A9" t="s">
        <v>197</v>
      </c>
      <c r="B9">
        <v>3.7944599999999999</v>
      </c>
      <c r="D9" t="s">
        <v>230</v>
      </c>
      <c r="E9">
        <v>3.7944599999999999</v>
      </c>
      <c r="G9" s="7" t="s">
        <v>192</v>
      </c>
      <c r="H9" s="5">
        <v>15.37557</v>
      </c>
      <c r="J9" s="7" t="s">
        <v>230</v>
      </c>
      <c r="K9" s="5">
        <v>3.7944599999999999</v>
      </c>
    </row>
    <row r="10" spans="1:11" x14ac:dyDescent="0.2">
      <c r="A10" t="s">
        <v>201</v>
      </c>
      <c r="B10">
        <v>3.6798799999999998</v>
      </c>
      <c r="D10" t="s">
        <v>195</v>
      </c>
      <c r="E10">
        <v>3.6798799999999998</v>
      </c>
      <c r="G10" s="7" t="s">
        <v>197</v>
      </c>
      <c r="H10" s="5">
        <v>17.84046</v>
      </c>
      <c r="J10" s="7" t="s">
        <v>190</v>
      </c>
      <c r="K10" s="5">
        <v>6.8738299999999999</v>
      </c>
    </row>
    <row r="11" spans="1:11" x14ac:dyDescent="0.2">
      <c r="A11" t="s">
        <v>171</v>
      </c>
      <c r="B11">
        <v>3.2880699999999998</v>
      </c>
      <c r="D11" t="s">
        <v>179</v>
      </c>
      <c r="E11">
        <v>3.2880699999999998</v>
      </c>
      <c r="G11" s="7" t="s">
        <v>337</v>
      </c>
      <c r="H11" s="5">
        <v>99.999979999999994</v>
      </c>
      <c r="J11" s="7" t="s">
        <v>337</v>
      </c>
      <c r="K11" s="5">
        <v>99.999979999999994</v>
      </c>
    </row>
    <row r="12" spans="1:11" x14ac:dyDescent="0.2">
      <c r="A12" t="s">
        <v>176</v>
      </c>
      <c r="B12">
        <v>3.1699000000000002</v>
      </c>
      <c r="D12" t="s">
        <v>227</v>
      </c>
      <c r="E12">
        <v>3.1699000000000002</v>
      </c>
    </row>
    <row r="13" spans="1:11" x14ac:dyDescent="0.2">
      <c r="A13" t="s">
        <v>201</v>
      </c>
      <c r="B13">
        <v>3.1305800000000001</v>
      </c>
      <c r="D13" t="s">
        <v>179</v>
      </c>
      <c r="E13">
        <v>3.1305800000000001</v>
      </c>
    </row>
    <row r="14" spans="1:11" x14ac:dyDescent="0.2">
      <c r="A14" t="s">
        <v>201</v>
      </c>
      <c r="B14">
        <v>3.1185800000000001</v>
      </c>
      <c r="D14" t="s">
        <v>179</v>
      </c>
      <c r="E14">
        <v>3.1185800000000001</v>
      </c>
    </row>
    <row r="15" spans="1:11" x14ac:dyDescent="0.2">
      <c r="A15" t="s">
        <v>171</v>
      </c>
      <c r="B15">
        <v>3.0836199999999998</v>
      </c>
      <c r="D15" t="s">
        <v>214</v>
      </c>
      <c r="E15">
        <v>3.0836199999999998</v>
      </c>
    </row>
    <row r="16" spans="1:11" x14ac:dyDescent="0.2">
      <c r="A16" t="s">
        <v>156</v>
      </c>
      <c r="B16">
        <v>2.9256099999999998</v>
      </c>
      <c r="D16" t="s">
        <v>195</v>
      </c>
      <c r="E16">
        <v>2.9256099999999998</v>
      </c>
    </row>
    <row r="17" spans="1:11" x14ac:dyDescent="0.2">
      <c r="A17" t="s">
        <v>187</v>
      </c>
      <c r="B17">
        <v>2.9228399999999999</v>
      </c>
      <c r="D17" t="s">
        <v>195</v>
      </c>
      <c r="E17">
        <v>2.9228399999999999</v>
      </c>
    </row>
    <row r="18" spans="1:11" x14ac:dyDescent="0.2">
      <c r="A18" t="s">
        <v>201</v>
      </c>
      <c r="B18">
        <v>2.8972500000000001</v>
      </c>
      <c r="D18" t="s">
        <v>179</v>
      </c>
      <c r="E18">
        <v>2.8972500000000001</v>
      </c>
    </row>
    <row r="19" spans="1:11" x14ac:dyDescent="0.2">
      <c r="A19" t="s">
        <v>201</v>
      </c>
      <c r="B19">
        <v>2.8730699999999998</v>
      </c>
      <c r="D19" t="s">
        <v>195</v>
      </c>
      <c r="E19">
        <v>2.8730699999999998</v>
      </c>
      <c r="G19" t="s">
        <v>21</v>
      </c>
      <c r="H19" t="s">
        <v>339</v>
      </c>
      <c r="J19" t="s">
        <v>21</v>
      </c>
      <c r="K19" t="s">
        <v>339</v>
      </c>
    </row>
    <row r="20" spans="1:11" x14ac:dyDescent="0.2">
      <c r="A20" t="s">
        <v>187</v>
      </c>
      <c r="B20">
        <v>2.8109000000000002</v>
      </c>
      <c r="D20" t="s">
        <v>227</v>
      </c>
      <c r="E20">
        <v>2.8109000000000002</v>
      </c>
      <c r="G20" t="s">
        <v>165</v>
      </c>
      <c r="H20">
        <v>1.9246399999999999</v>
      </c>
      <c r="J20" s="7" t="s">
        <v>230</v>
      </c>
      <c r="K20" s="5">
        <v>3.7944599999999999</v>
      </c>
    </row>
    <row r="21" spans="1:11" x14ac:dyDescent="0.2">
      <c r="A21" t="s">
        <v>171</v>
      </c>
      <c r="B21">
        <v>2.7391000000000001</v>
      </c>
      <c r="D21" t="s">
        <v>199</v>
      </c>
      <c r="E21">
        <v>2.7391000000000001</v>
      </c>
      <c r="G21" s="7" t="s">
        <v>156</v>
      </c>
      <c r="H21" s="5">
        <v>6.8727999999999998</v>
      </c>
      <c r="J21" s="7" t="s">
        <v>190</v>
      </c>
      <c r="K21" s="5">
        <v>6.8738299999999999</v>
      </c>
    </row>
    <row r="22" spans="1:11" x14ac:dyDescent="0.2">
      <c r="A22" t="s">
        <v>201</v>
      </c>
      <c r="B22">
        <v>2.7029800000000002</v>
      </c>
      <c r="D22" t="s">
        <v>195</v>
      </c>
      <c r="E22">
        <v>2.7029800000000002</v>
      </c>
      <c r="G22" s="7" t="s">
        <v>176</v>
      </c>
      <c r="H22" s="5">
        <v>6.9424400000000013</v>
      </c>
      <c r="J22" s="7" t="s">
        <v>227</v>
      </c>
      <c r="K22" s="5">
        <v>8.6779500000000009</v>
      </c>
    </row>
    <row r="23" spans="1:11" x14ac:dyDescent="0.2">
      <c r="A23" t="s">
        <v>187</v>
      </c>
      <c r="B23">
        <v>2.6971500000000002</v>
      </c>
      <c r="D23" t="s">
        <v>227</v>
      </c>
      <c r="E23">
        <v>2.6971500000000002</v>
      </c>
      <c r="G23" s="7" t="s">
        <v>187</v>
      </c>
      <c r="H23" s="5">
        <v>12.60942</v>
      </c>
      <c r="J23" s="7" t="s">
        <v>174</v>
      </c>
      <c r="K23" s="5">
        <v>9.14</v>
      </c>
    </row>
    <row r="24" spans="1:11" x14ac:dyDescent="0.2">
      <c r="A24" t="s">
        <v>187</v>
      </c>
      <c r="B24">
        <v>2.4089999999999998</v>
      </c>
      <c r="D24" t="s">
        <v>199</v>
      </c>
      <c r="E24">
        <v>2.4089999999999998</v>
      </c>
      <c r="G24" s="7" t="s">
        <v>171</v>
      </c>
      <c r="H24" s="5">
        <v>13.158480000000001</v>
      </c>
      <c r="J24" s="7" t="s">
        <v>199</v>
      </c>
      <c r="K24" s="5">
        <v>11.10891</v>
      </c>
    </row>
    <row r="25" spans="1:11" x14ac:dyDescent="0.2">
      <c r="A25" t="s">
        <v>176</v>
      </c>
      <c r="B25">
        <v>2.1568900000000002</v>
      </c>
      <c r="D25" t="s">
        <v>179</v>
      </c>
      <c r="E25">
        <v>2.1568900000000002</v>
      </c>
      <c r="G25" s="7" t="s">
        <v>192</v>
      </c>
      <c r="H25" s="5">
        <v>15.37557</v>
      </c>
      <c r="J25" s="7" t="s">
        <v>214</v>
      </c>
      <c r="K25" s="5">
        <v>11.279969999999999</v>
      </c>
    </row>
    <row r="26" spans="1:11" x14ac:dyDescent="0.2">
      <c r="A26" t="s">
        <v>165</v>
      </c>
      <c r="B26">
        <v>1.9246399999999999</v>
      </c>
      <c r="D26" t="s">
        <v>179</v>
      </c>
      <c r="E26">
        <v>1.9246399999999999</v>
      </c>
      <c r="G26" s="7" t="s">
        <v>197</v>
      </c>
      <c r="H26" s="5">
        <v>17.84046</v>
      </c>
      <c r="J26" s="7" t="s">
        <v>179</v>
      </c>
      <c r="K26" s="5">
        <v>24.441219999999998</v>
      </c>
    </row>
    <row r="27" spans="1:11" x14ac:dyDescent="0.2">
      <c r="A27" t="s">
        <v>187</v>
      </c>
      <c r="B27">
        <v>1.76953</v>
      </c>
      <c r="D27" t="s">
        <v>195</v>
      </c>
      <c r="E27">
        <v>1.76953</v>
      </c>
      <c r="G27" s="7" t="s">
        <v>201</v>
      </c>
      <c r="H27" s="5">
        <v>25.276169999999997</v>
      </c>
      <c r="J27" s="7" t="s">
        <v>195</v>
      </c>
      <c r="K27" s="5">
        <v>24.683639999999997</v>
      </c>
    </row>
    <row r="28" spans="1:11" x14ac:dyDescent="0.2">
      <c r="A28" t="s">
        <v>176</v>
      </c>
      <c r="B28">
        <v>1.61565</v>
      </c>
      <c r="D28" t="s">
        <v>179</v>
      </c>
      <c r="E28">
        <v>1.61565</v>
      </c>
      <c r="G28" s="7"/>
      <c r="H28" s="5"/>
    </row>
    <row r="29" spans="1:11" x14ac:dyDescent="0.2">
      <c r="A29" t="s">
        <v>171</v>
      </c>
      <c r="B29">
        <v>1.57416</v>
      </c>
      <c r="D29" t="s">
        <v>195</v>
      </c>
      <c r="E29">
        <v>1.57416</v>
      </c>
      <c r="G29" s="7"/>
      <c r="H29" s="5"/>
    </row>
    <row r="30" spans="1:11" x14ac:dyDescent="0.2">
      <c r="A30" t="s">
        <v>171</v>
      </c>
      <c r="B30">
        <v>1.3625700000000001</v>
      </c>
      <c r="D30" t="s">
        <v>199</v>
      </c>
      <c r="E30">
        <v>1.3625700000000001</v>
      </c>
      <c r="G30" s="7"/>
      <c r="H30" s="5"/>
    </row>
    <row r="31" spans="1:11" x14ac:dyDescent="0.2">
      <c r="A31" t="s">
        <v>171</v>
      </c>
      <c r="B31">
        <v>1.1109599999999999</v>
      </c>
      <c r="D31" t="s">
        <v>179</v>
      </c>
      <c r="E31">
        <v>1.1109599999999999</v>
      </c>
      <c r="G31" s="7"/>
      <c r="H31" s="5"/>
    </row>
    <row r="32" spans="1:11" x14ac:dyDescent="0.2">
      <c r="G32" s="7"/>
      <c r="H32" s="5"/>
    </row>
  </sheetData>
  <autoFilter ref="G19:H19">
    <sortState ref="G20:H27">
      <sortCondition ref="H19"/>
    </sortState>
  </autoFilter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19FA374B5EA294992F10F5C99299EDE" ma:contentTypeVersion="10" ma:contentTypeDescription="Create a new document." ma:contentTypeScope="" ma:versionID="2e752d3eda2957bdfa3dd4fd594b18b9">
  <xsd:schema xmlns:xsd="http://www.w3.org/2001/XMLSchema" xmlns:xs="http://www.w3.org/2001/XMLSchema" xmlns:p="http://schemas.microsoft.com/office/2006/metadata/properties" xmlns:ns2="9b4f3d91-490c-48c0-8b9d-8c1d30e23c71" xmlns:ns3="6dc1145f-2d82-4836-ac1f-806e4087b940" targetNamespace="http://schemas.microsoft.com/office/2006/metadata/properties" ma:root="true" ma:fieldsID="7cb906f2d1fce7da25df757e39c22130" ns2:_="" ns3:_="">
    <xsd:import namespace="9b4f3d91-490c-48c0-8b9d-8c1d30e23c71"/>
    <xsd:import namespace="6dc1145f-2d82-4836-ac1f-806e4087b940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b4f3d91-490c-48c0-8b9d-8c1d30e23c71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6137c6fb-76d8-4766-a84f-7e98b86fa9e3}" ma:internalName="TaxCatchAll" ma:showField="CatchAllData" ma:web="9b4f3d91-490c-48c0-8b9d-8c1d30e23c7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dc1145f-2d82-4836-ac1f-806e4087b94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49ac77e2-9ba5-44c9-8641-963c09a092d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dc1145f-2d82-4836-ac1f-806e4087b940">
      <Terms xmlns="http://schemas.microsoft.com/office/infopath/2007/PartnerControls"/>
    </lcf76f155ced4ddcb4097134ff3c332f>
    <TaxCatchAll xmlns="9b4f3d91-490c-48c0-8b9d-8c1d30e23c71" xsi:nil="true"/>
  </documentManagement>
</p:properties>
</file>

<file path=customXml/itemProps1.xml><?xml version="1.0" encoding="utf-8"?>
<ds:datastoreItem xmlns:ds="http://schemas.openxmlformats.org/officeDocument/2006/customXml" ds:itemID="{ECC15379-6B5B-437B-BA1B-CABC51F26DF6}"/>
</file>

<file path=customXml/itemProps2.xml><?xml version="1.0" encoding="utf-8"?>
<ds:datastoreItem xmlns:ds="http://schemas.openxmlformats.org/officeDocument/2006/customXml" ds:itemID="{DD64E7DF-5346-4497-848E-E9228EBA32B6}"/>
</file>

<file path=customXml/itemProps3.xml><?xml version="1.0" encoding="utf-8"?>
<ds:datastoreItem xmlns:ds="http://schemas.openxmlformats.org/officeDocument/2006/customXml" ds:itemID="{27DD0648-F428-4010-BCD9-7AE6E6F8AD90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close_sd3gt_20141128</vt:lpstr>
      <vt:lpstr>names</vt:lpstr>
      <vt:lpstr>Pivot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Granell, Antonio</dc:creator>
  <cp:lastModifiedBy>Granell, Antonio</cp:lastModifiedBy>
  <dcterms:created xsi:type="dcterms:W3CDTF">2014-12-23T13:48:21Z</dcterms:created>
  <dcterms:modified xsi:type="dcterms:W3CDTF">2014-12-23T15:31:02Z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0x010100D19FA374B5EA294992F10F5C99299EDE</vt:lpwstr>
  </property>
</Properties>
</file>